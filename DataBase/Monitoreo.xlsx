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JANDRO\Documents\GitHub\ToolsAndTesting\DataBase\"/>
    </mc:Choice>
  </mc:AlternateContent>
  <xr:revisionPtr revIDLastSave="0" documentId="13_ncr:1_{47C44FAD-6282-4472-9761-0A64605CF926}" xr6:coauthVersionLast="47" xr6:coauthVersionMax="47" xr10:uidLastSave="{00000000-0000-0000-0000-000000000000}"/>
  <bookViews>
    <workbookView xWindow="-120" yWindow="-120" windowWidth="29040" windowHeight="15720" xr2:uid="{D2B350E3-C795-44C3-97DC-71F92713792A}"/>
  </bookViews>
  <sheets>
    <sheet name="Hoja4" sheetId="4" r:id="rId1"/>
  </sheets>
  <externalReferences>
    <externalReference r:id="rId2"/>
    <externalReference r:id="rId3"/>
    <externalReference r:id="rId4"/>
  </externalReferences>
  <definedNames>
    <definedName name="_xlnm._FilterDatabase" localSheetId="0" hidden="1">Hoja4!$B$2:$V$365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87" i="4" l="1"/>
  <c r="I187" i="4"/>
  <c r="J187" i="4" s="1"/>
  <c r="V186" i="4"/>
  <c r="I186" i="4"/>
  <c r="J186" i="4" s="1"/>
  <c r="V185" i="4"/>
  <c r="I185" i="4"/>
  <c r="J185" i="4" s="1"/>
  <c r="V169" i="4"/>
  <c r="I169" i="4"/>
  <c r="J169" i="4" s="1"/>
  <c r="V258" i="4"/>
  <c r="I258" i="4"/>
  <c r="J258" i="4" s="1"/>
  <c r="V86" i="4"/>
  <c r="I86" i="4"/>
  <c r="J86" i="4" s="1"/>
  <c r="V340" i="4"/>
  <c r="I340" i="4"/>
  <c r="J340" i="4" s="1"/>
  <c r="G340" i="4"/>
  <c r="F340" i="4"/>
  <c r="V288" i="4"/>
  <c r="K288" i="4"/>
  <c r="V235" i="4"/>
  <c r="I235" i="4"/>
  <c r="J235" i="4" s="1"/>
  <c r="V171" i="4"/>
  <c r="K171" i="4"/>
  <c r="V212" i="4"/>
  <c r="J212" i="4"/>
  <c r="I212" i="4"/>
  <c r="V155" i="4"/>
  <c r="K155" i="4"/>
  <c r="I155" i="4" s="1"/>
  <c r="J155" i="4" s="1"/>
  <c r="V97" i="4"/>
  <c r="I97" i="4"/>
  <c r="J97" i="4" s="1"/>
  <c r="V312" i="4"/>
  <c r="I312" i="4"/>
  <c r="J312" i="4" s="1"/>
  <c r="V179" i="4"/>
  <c r="I179" i="4"/>
  <c r="J179" i="4" s="1"/>
  <c r="V219" i="4"/>
  <c r="I219" i="4"/>
  <c r="J219" i="4" s="1"/>
  <c r="V175" i="4"/>
  <c r="I175" i="4"/>
  <c r="J175" i="4" s="1"/>
  <c r="V62" i="4"/>
  <c r="I62" i="4"/>
  <c r="J62" i="4" s="1"/>
  <c r="V71" i="4"/>
  <c r="I71" i="4"/>
  <c r="J71" i="4" s="1"/>
  <c r="V325" i="4"/>
  <c r="K325" i="4"/>
  <c r="V363" i="4"/>
  <c r="I363" i="4"/>
  <c r="J363" i="4" s="1"/>
  <c r="V143" i="4"/>
  <c r="I143" i="4"/>
  <c r="J143" i="4" s="1"/>
  <c r="V160" i="4"/>
  <c r="K160" i="4"/>
  <c r="V194" i="4"/>
  <c r="K194" i="4"/>
  <c r="I194" i="4" s="1"/>
  <c r="J194" i="4" s="1"/>
  <c r="V342" i="4"/>
  <c r="I342" i="4"/>
  <c r="J342" i="4" s="1"/>
  <c r="V193" i="4"/>
  <c r="K193" i="4"/>
  <c r="I193" i="4" s="1"/>
  <c r="J193" i="4" s="1"/>
  <c r="V229" i="4"/>
  <c r="I229" i="4"/>
  <c r="J229" i="4" s="1"/>
  <c r="V78" i="4"/>
  <c r="I78" i="4"/>
  <c r="J78" i="4" s="1"/>
  <c r="V167" i="4"/>
  <c r="I167" i="4"/>
  <c r="J167" i="4" s="1"/>
  <c r="V303" i="4"/>
  <c r="I303" i="4"/>
  <c r="J303" i="4" s="1"/>
  <c r="V321" i="4"/>
  <c r="I321" i="4"/>
  <c r="J321" i="4" s="1"/>
  <c r="V153" i="4"/>
  <c r="I153" i="4"/>
  <c r="J153" i="4" s="1"/>
  <c r="V210" i="4"/>
  <c r="I210" i="4"/>
  <c r="J210" i="4" s="1"/>
  <c r="V52" i="4"/>
  <c r="I52" i="4"/>
  <c r="J52" i="4" s="1"/>
  <c r="V162" i="4"/>
  <c r="J162" i="4"/>
  <c r="I162" i="4"/>
  <c r="V184" i="4"/>
  <c r="I184" i="4"/>
  <c r="J184" i="4" s="1"/>
  <c r="V117" i="4"/>
  <c r="I117" i="4"/>
  <c r="J117" i="4" s="1"/>
  <c r="V262" i="4"/>
  <c r="I262" i="4"/>
  <c r="J262" i="4" s="1"/>
  <c r="V278" i="4"/>
  <c r="I278" i="4"/>
  <c r="J278" i="4" s="1"/>
  <c r="V257" i="4"/>
  <c r="I257" i="4"/>
  <c r="J257" i="4" s="1"/>
  <c r="V25" i="4"/>
  <c r="I25" i="4"/>
  <c r="J25" i="4" s="1"/>
  <c r="V63" i="4"/>
  <c r="K63" i="4"/>
  <c r="I63" i="4" s="1"/>
  <c r="J63" i="4" s="1"/>
  <c r="V237" i="4"/>
  <c r="I237" i="4"/>
  <c r="J237" i="4" s="1"/>
  <c r="V287" i="4"/>
  <c r="I287" i="4"/>
  <c r="J287" i="4" s="1"/>
  <c r="V132" i="4"/>
  <c r="I132" i="4"/>
  <c r="J132" i="4" s="1"/>
  <c r="V112" i="4"/>
  <c r="I112" i="4"/>
  <c r="J112" i="4" s="1"/>
  <c r="V263" i="4"/>
  <c r="I263" i="4"/>
  <c r="J263" i="4" s="1"/>
  <c r="V308" i="4"/>
  <c r="I308" i="4"/>
  <c r="J308" i="4" s="1"/>
  <c r="V307" i="4"/>
  <c r="I307" i="4"/>
  <c r="J307" i="4" s="1"/>
  <c r="V358" i="4"/>
  <c r="I358" i="4"/>
  <c r="J358" i="4" s="1"/>
  <c r="V304" i="4"/>
  <c r="I304" i="4"/>
  <c r="J304" i="4" s="1"/>
  <c r="V277" i="4"/>
  <c r="I277" i="4"/>
  <c r="J277" i="4" s="1"/>
  <c r="V144" i="4"/>
  <c r="I144" i="4"/>
  <c r="J144" i="4" s="1"/>
  <c r="V61" i="4"/>
  <c r="I61" i="4"/>
  <c r="J61" i="4" s="1"/>
  <c r="V116" i="4"/>
  <c r="K116" i="4"/>
  <c r="I116" i="4" s="1"/>
  <c r="J116" i="4" s="1"/>
  <c r="V343" i="4"/>
  <c r="I343" i="4"/>
  <c r="J343" i="4" s="1"/>
  <c r="V60" i="4"/>
  <c r="I60" i="4"/>
  <c r="J60" i="4" s="1"/>
  <c r="V233" i="4"/>
  <c r="K233" i="4"/>
  <c r="V32" i="4"/>
  <c r="I32" i="4"/>
  <c r="J32" i="4" s="1"/>
  <c r="V69" i="4"/>
  <c r="I69" i="4"/>
  <c r="J69" i="4" s="1"/>
  <c r="V140" i="4"/>
  <c r="I140" i="4"/>
  <c r="J140" i="4" s="1"/>
  <c r="V58" i="4"/>
  <c r="K58" i="4"/>
  <c r="I58" i="4" s="1"/>
  <c r="J58" i="4" s="1"/>
  <c r="V183" i="4"/>
  <c r="I183" i="4"/>
  <c r="J183" i="4" s="1"/>
  <c r="V24" i="4"/>
  <c r="I24" i="4"/>
  <c r="J24" i="4" s="1"/>
  <c r="V170" i="4"/>
  <c r="I170" i="4"/>
  <c r="J170" i="4" s="1"/>
  <c r="V251" i="4"/>
  <c r="I251" i="4"/>
  <c r="J251" i="4" s="1"/>
  <c r="V276" i="4"/>
  <c r="I276" i="4"/>
  <c r="J276" i="4" s="1"/>
  <c r="V115" i="4"/>
  <c r="I115" i="4"/>
  <c r="J115" i="4" s="1"/>
  <c r="V329" i="4"/>
  <c r="I329" i="4"/>
  <c r="J329" i="4" s="1"/>
  <c r="V28" i="4"/>
  <c r="K28" i="4"/>
  <c r="I28" i="4" s="1"/>
  <c r="J28" i="4" s="1"/>
  <c r="V113" i="4"/>
  <c r="I113" i="4"/>
  <c r="J113" i="4" s="1"/>
  <c r="V124" i="4"/>
  <c r="K124" i="4"/>
  <c r="I124" i="4" s="1"/>
  <c r="J124" i="4" s="1"/>
  <c r="V48" i="4"/>
  <c r="I48" i="4"/>
  <c r="J48" i="4" s="1"/>
  <c r="V130" i="4"/>
  <c r="I130" i="4"/>
  <c r="J130" i="4" s="1"/>
  <c r="V94" i="4"/>
  <c r="I94" i="4"/>
  <c r="J94" i="4" s="1"/>
  <c r="V236" i="4"/>
  <c r="I236" i="4"/>
  <c r="J236" i="4" s="1"/>
  <c r="V218" i="4"/>
  <c r="I218" i="4"/>
  <c r="J218" i="4" s="1"/>
  <c r="V4" i="4"/>
  <c r="K4" i="4"/>
  <c r="V177" i="4"/>
  <c r="I177" i="4"/>
  <c r="J177" i="4" s="1"/>
  <c r="V256" i="4"/>
  <c r="I256" i="4"/>
  <c r="J256" i="4" s="1"/>
  <c r="V314" i="4"/>
  <c r="I314" i="4"/>
  <c r="J314" i="4" s="1"/>
  <c r="V182" i="4"/>
  <c r="I182" i="4"/>
  <c r="J182" i="4" s="1"/>
  <c r="V181" i="4"/>
  <c r="I181" i="4"/>
  <c r="J181" i="4" s="1"/>
  <c r="V57" i="4"/>
  <c r="I57" i="4"/>
  <c r="J57" i="4" s="1"/>
  <c r="V161" i="4"/>
  <c r="I161" i="4"/>
  <c r="J161" i="4" s="1"/>
  <c r="V305" i="4"/>
  <c r="I305" i="4"/>
  <c r="J305" i="4" s="1"/>
  <c r="V192" i="4"/>
  <c r="K192" i="4"/>
  <c r="I192" i="4" s="1"/>
  <c r="J192" i="4" s="1"/>
  <c r="V111" i="4"/>
  <c r="I111" i="4"/>
  <c r="J111" i="4" s="1"/>
  <c r="V255" i="4"/>
  <c r="K255" i="4"/>
  <c r="V306" i="4"/>
  <c r="I306" i="4"/>
  <c r="J306" i="4" s="1"/>
  <c r="V114" i="4"/>
  <c r="K114" i="4"/>
  <c r="V128" i="4"/>
  <c r="I128" i="4"/>
  <c r="J128" i="4" s="1"/>
  <c r="V220" i="4"/>
  <c r="I220" i="4"/>
  <c r="J220" i="4" s="1"/>
  <c r="V166" i="4"/>
  <c r="I166" i="4"/>
  <c r="J166" i="4" s="1"/>
  <c r="V82" i="4"/>
  <c r="I82" i="4"/>
  <c r="J82" i="4" s="1"/>
  <c r="V37" i="4"/>
  <c r="I37" i="4"/>
  <c r="J37" i="4" s="1"/>
  <c r="V137" i="4"/>
  <c r="I137" i="4"/>
  <c r="J137" i="4" s="1"/>
  <c r="V127" i="4"/>
  <c r="I127" i="4"/>
  <c r="J127" i="4" s="1"/>
  <c r="V34" i="4"/>
  <c r="I34" i="4"/>
  <c r="J34" i="4" s="1"/>
  <c r="V77" i="4"/>
  <c r="I77" i="4"/>
  <c r="J77" i="4" s="1"/>
  <c r="V328" i="4"/>
  <c r="I328" i="4"/>
  <c r="J328" i="4" s="1"/>
  <c r="V55" i="4"/>
  <c r="I55" i="4"/>
  <c r="J55" i="4" s="1"/>
  <c r="V217" i="4"/>
  <c r="I217" i="4"/>
  <c r="J217" i="4" s="1"/>
  <c r="V159" i="4"/>
  <c r="K159" i="4"/>
  <c r="V270" i="4"/>
  <c r="I270" i="4"/>
  <c r="J270" i="4" s="1"/>
  <c r="G270" i="4"/>
  <c r="F270" i="4"/>
  <c r="V275" i="4"/>
  <c r="I275" i="4"/>
  <c r="J275" i="4" s="1"/>
  <c r="V125" i="4"/>
  <c r="I125" i="4"/>
  <c r="J125" i="4" s="1"/>
  <c r="V79" i="4"/>
  <c r="K79" i="4"/>
  <c r="V286" i="4"/>
  <c r="I286" i="4"/>
  <c r="J286" i="4" s="1"/>
  <c r="V67" i="4"/>
  <c r="K67" i="4"/>
  <c r="I67" i="4" s="1"/>
  <c r="J67" i="4" s="1"/>
  <c r="V285" i="4"/>
  <c r="I285" i="4"/>
  <c r="J285" i="4" s="1"/>
  <c r="V216" i="4"/>
  <c r="I216" i="4"/>
  <c r="J216" i="4" s="1"/>
  <c r="V274" i="4"/>
  <c r="I274" i="4"/>
  <c r="J274" i="4" s="1"/>
  <c r="V91" i="4"/>
  <c r="I91" i="4"/>
  <c r="J91" i="4" s="1"/>
  <c r="V107" i="4"/>
  <c r="I107" i="4"/>
  <c r="J107" i="4" s="1"/>
  <c r="V327" i="4"/>
  <c r="K327" i="4"/>
  <c r="V81" i="4"/>
  <c r="I81" i="4"/>
  <c r="J81" i="4" s="1"/>
  <c r="V189" i="4"/>
  <c r="I189" i="4"/>
  <c r="J189" i="4" s="1"/>
  <c r="V261" i="4"/>
  <c r="I261" i="4"/>
  <c r="J261" i="4" s="1"/>
  <c r="V23" i="4"/>
  <c r="I23" i="4"/>
  <c r="J23" i="4" s="1"/>
  <c r="V324" i="4"/>
  <c r="K324" i="4"/>
  <c r="V75" i="4"/>
  <c r="I75" i="4"/>
  <c r="J75" i="4" s="1"/>
  <c r="V147" i="4"/>
  <c r="I147" i="4"/>
  <c r="J147" i="4" s="1"/>
  <c r="V313" i="4"/>
  <c r="K313" i="4"/>
  <c r="I313" i="4" s="1"/>
  <c r="J313" i="4" s="1"/>
  <c r="V150" i="4"/>
  <c r="J150" i="4"/>
  <c r="I150" i="4"/>
  <c r="V146" i="4"/>
  <c r="I146" i="4"/>
  <c r="J146" i="4" s="1"/>
  <c r="V102" i="4"/>
  <c r="L102" i="4"/>
  <c r="K102" i="4"/>
  <c r="G102" i="4"/>
  <c r="F102" i="4"/>
  <c r="D102" i="4"/>
  <c r="V311" i="4"/>
  <c r="I311" i="4"/>
  <c r="J311" i="4" s="1"/>
  <c r="V265" i="4"/>
  <c r="I265" i="4"/>
  <c r="J265" i="4" s="1"/>
  <c r="V344" i="4"/>
  <c r="I344" i="4"/>
  <c r="J344" i="4" s="1"/>
  <c r="F344" i="4"/>
  <c r="V87" i="4"/>
  <c r="I87" i="4"/>
  <c r="J87" i="4" s="1"/>
  <c r="V339" i="4"/>
  <c r="I339" i="4"/>
  <c r="J339" i="4" s="1"/>
  <c r="V35" i="4"/>
  <c r="V73" i="4"/>
  <c r="I73" i="4"/>
  <c r="J73" i="4" s="1"/>
  <c r="V260" i="4"/>
  <c r="I260" i="4"/>
  <c r="J260" i="4" s="1"/>
  <c r="V254" i="4"/>
  <c r="I254" i="4"/>
  <c r="J254" i="4" s="1"/>
  <c r="V259" i="4"/>
  <c r="I259" i="4"/>
  <c r="J259" i="4" s="1"/>
  <c r="V335" i="4"/>
  <c r="I335" i="4"/>
  <c r="J335" i="4" s="1"/>
  <c r="V345" i="4"/>
  <c r="I345" i="4"/>
  <c r="J345" i="4" s="1"/>
  <c r="F345" i="4"/>
  <c r="V72" i="4"/>
  <c r="I72" i="4"/>
  <c r="J72" i="4" s="1"/>
  <c r="V253" i="4"/>
  <c r="I253" i="4"/>
  <c r="J253" i="4" s="1"/>
  <c r="V105" i="4"/>
  <c r="I105" i="4"/>
  <c r="J105" i="4" s="1"/>
  <c r="V284" i="4"/>
  <c r="I284" i="4"/>
  <c r="J284" i="4" s="1"/>
  <c r="V334" i="4"/>
  <c r="I334" i="4"/>
  <c r="J334" i="4" s="1"/>
  <c r="V176" i="4"/>
  <c r="I176" i="4"/>
  <c r="J176" i="4" s="1"/>
  <c r="V283" i="4"/>
  <c r="I283" i="4"/>
  <c r="J283" i="4" s="1"/>
  <c r="V215" i="4"/>
  <c r="K215" i="4"/>
  <c r="I215" i="4" s="1"/>
  <c r="J215" i="4" s="1"/>
  <c r="V282" i="4"/>
  <c r="I282" i="4"/>
  <c r="J282" i="4" s="1"/>
  <c r="V178" i="4"/>
  <c r="I178" i="4"/>
  <c r="J178" i="4" s="1"/>
  <c r="V338" i="4"/>
  <c r="I338" i="4"/>
  <c r="J338" i="4" s="1"/>
  <c r="V281" i="4"/>
  <c r="I281" i="4"/>
  <c r="J281" i="4" s="1"/>
  <c r="V214" i="4"/>
  <c r="I214" i="4"/>
  <c r="J214" i="4" s="1"/>
  <c r="V44" i="4"/>
  <c r="I44" i="4"/>
  <c r="J44" i="4" s="1"/>
  <c r="V156" i="4"/>
  <c r="I156" i="4"/>
  <c r="J156" i="4" s="1"/>
  <c r="V291" i="4"/>
  <c r="I291" i="4"/>
  <c r="J291" i="4" s="1"/>
  <c r="I102" i="4" l="1"/>
  <c r="J102" i="4" s="1"/>
  <c r="I255" i="4"/>
  <c r="J255" i="4" s="1"/>
  <c r="I324" i="4"/>
  <c r="J324" i="4" s="1"/>
  <c r="I327" i="4"/>
  <c r="J327" i="4" s="1"/>
  <c r="I159" i="4"/>
  <c r="J159" i="4" s="1"/>
  <c r="I114" i="4"/>
  <c r="J114" i="4" s="1"/>
  <c r="I160" i="4"/>
  <c r="J160" i="4" s="1"/>
  <c r="I79" i="4"/>
  <c r="J79" i="4" s="1"/>
  <c r="I288" i="4"/>
  <c r="J288" i="4" s="1"/>
  <c r="I4" i="4"/>
  <c r="J4" i="4" s="1"/>
  <c r="I233" i="4"/>
  <c r="J233" i="4" s="1"/>
  <c r="I325" i="4"/>
  <c r="J325" i="4" s="1"/>
  <c r="I171" i="4"/>
  <c r="J17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O2" authorId="0" shapeId="0" xr:uid="{3A82CC72-4D20-4BF9-AFC5-85B208604531}">
      <text>
        <r>
          <rPr>
            <b/>
            <sz val="9"/>
            <color indexed="81"/>
            <rFont val="Tahoma"/>
            <family val="2"/>
          </rPr>
          <t>MALLA 500</t>
        </r>
      </text>
    </comment>
    <comment ref="P2" authorId="0" shapeId="0" xr:uid="{144CEA9A-79F4-4086-A98B-36640D1C7802}">
      <text>
        <r>
          <rPr>
            <b/>
            <sz val="9"/>
            <color indexed="81"/>
            <rFont val="Tahoma"/>
            <family val="2"/>
          </rPr>
          <t>MALLA 325</t>
        </r>
      </text>
    </comment>
    <comment ref="Q2" authorId="0" shapeId="0" xr:uid="{971FA090-5246-4DF6-8EBB-48C7AD868E81}">
      <text>
        <r>
          <rPr>
            <b/>
            <sz val="9"/>
            <color indexed="81"/>
            <rFont val="Tahoma"/>
            <family val="2"/>
          </rPr>
          <t>MALLA 140</t>
        </r>
      </text>
    </comment>
    <comment ref="R2" authorId="0" shapeId="0" xr:uid="{860B96C9-502E-4A13-996F-E49083985DD0}">
      <text>
        <r>
          <rPr>
            <b/>
            <sz val="9"/>
            <color indexed="81"/>
            <rFont val="Tahoma"/>
            <family val="2"/>
          </rPr>
          <t>MALLA 70</t>
        </r>
      </text>
    </comment>
    <comment ref="S2" authorId="0" shapeId="0" xr:uid="{31CF5992-2F61-4B66-92E5-37EA2AE51204}">
      <text>
        <r>
          <rPr>
            <b/>
            <sz val="9"/>
            <color indexed="81"/>
            <rFont val="Tahoma"/>
            <family val="2"/>
          </rPr>
          <t>MALLA 60</t>
        </r>
      </text>
    </comment>
    <comment ref="T2" authorId="0" shapeId="0" xr:uid="{1A1A2DA6-2C42-4FE8-B53B-C76A474C0E5F}">
      <text>
        <r>
          <rPr>
            <b/>
            <sz val="9"/>
            <color indexed="81"/>
            <rFont val="Tahoma"/>
            <family val="2"/>
          </rPr>
          <t>MALLA 40</t>
        </r>
      </text>
    </comment>
  </commentList>
</comments>
</file>

<file path=xl/sharedStrings.xml><?xml version="1.0" encoding="utf-8"?>
<sst xmlns="http://schemas.openxmlformats.org/spreadsheetml/2006/main" count="1723" uniqueCount="315">
  <si>
    <t>ARG-01</t>
  </si>
  <si>
    <t>BAY-02</t>
  </si>
  <si>
    <t>CC-003</t>
  </si>
  <si>
    <t>CC-018</t>
  </si>
  <si>
    <t>CC-020ST</t>
  </si>
  <si>
    <t>CH-03</t>
  </si>
  <si>
    <t>CH-04</t>
  </si>
  <si>
    <t>CH-08</t>
  </si>
  <si>
    <t>CH-14</t>
  </si>
  <si>
    <t>CH-19</t>
  </si>
  <si>
    <t>CH-20</t>
  </si>
  <si>
    <t>CH-22</t>
  </si>
  <si>
    <t>CH-24</t>
  </si>
  <si>
    <t>CH-27</t>
  </si>
  <si>
    <t>CH-29</t>
  </si>
  <si>
    <t>CL-04</t>
  </si>
  <si>
    <t>CL-08</t>
  </si>
  <si>
    <t>CL-11</t>
  </si>
  <si>
    <t>CL-16</t>
  </si>
  <si>
    <t>CL-32</t>
  </si>
  <si>
    <t>CL-34</t>
  </si>
  <si>
    <t>CL-35</t>
  </si>
  <si>
    <t>CL-36</t>
  </si>
  <si>
    <t>CL-41</t>
  </si>
  <si>
    <t>CL-42</t>
  </si>
  <si>
    <t>CL-43</t>
  </si>
  <si>
    <t>CL-47</t>
  </si>
  <si>
    <t>CL-49</t>
  </si>
  <si>
    <t>CO A</t>
  </si>
  <si>
    <t>CO G</t>
  </si>
  <si>
    <t>CO Y-04</t>
  </si>
  <si>
    <t>CR-11</t>
  </si>
  <si>
    <t>CR-14</t>
  </si>
  <si>
    <t>CV E-01</t>
  </si>
  <si>
    <t>CV E-03</t>
  </si>
  <si>
    <t>CV-02</t>
  </si>
  <si>
    <t>CV-07</t>
  </si>
  <si>
    <t>CV-19</t>
  </si>
  <si>
    <t>CY-082</t>
  </si>
  <si>
    <t>CY-11</t>
  </si>
  <si>
    <t>CY-12</t>
  </si>
  <si>
    <t>CY-15</t>
  </si>
  <si>
    <t>CY-16</t>
  </si>
  <si>
    <t>CY-23</t>
  </si>
  <si>
    <t>CY-26</t>
  </si>
  <si>
    <t>CY-32</t>
  </si>
  <si>
    <t>CY-40</t>
  </si>
  <si>
    <t>CY-41</t>
  </si>
  <si>
    <t>CY-50</t>
  </si>
  <si>
    <t>CY-51</t>
  </si>
  <si>
    <t>CY-52</t>
  </si>
  <si>
    <t>CY-53</t>
  </si>
  <si>
    <t>CY-60</t>
  </si>
  <si>
    <t>CY-66</t>
  </si>
  <si>
    <t>CY-67</t>
  </si>
  <si>
    <t>CY-70</t>
  </si>
  <si>
    <t>CY-74</t>
  </si>
  <si>
    <t>CY-75</t>
  </si>
  <si>
    <t>CY-84</t>
  </si>
  <si>
    <t>CY-86</t>
  </si>
  <si>
    <t>CY-87</t>
  </si>
  <si>
    <t>CY-90</t>
  </si>
  <si>
    <t>CY-91</t>
  </si>
  <si>
    <t>CY-92</t>
  </si>
  <si>
    <t>CY-94</t>
  </si>
  <si>
    <t>GLO-01</t>
  </si>
  <si>
    <t>LY-006</t>
  </si>
  <si>
    <t>LY-008</t>
  </si>
  <si>
    <t>LY-014</t>
  </si>
  <si>
    <t>LY-015</t>
  </si>
  <si>
    <t>LY-027</t>
  </si>
  <si>
    <t>LY-030</t>
  </si>
  <si>
    <t>LY-031</t>
  </si>
  <si>
    <t>LY-035</t>
  </si>
  <si>
    <t>LY-040</t>
  </si>
  <si>
    <t>LY-055</t>
  </si>
  <si>
    <t>LY-059</t>
  </si>
  <si>
    <t>LY-066</t>
  </si>
  <si>
    <t>LY-067</t>
  </si>
  <si>
    <t>LY-068</t>
  </si>
  <si>
    <t>LY-070</t>
  </si>
  <si>
    <t>LY-075</t>
  </si>
  <si>
    <t>LY-088</t>
  </si>
  <si>
    <t>LY-092</t>
  </si>
  <si>
    <t>LY-095</t>
  </si>
  <si>
    <t>LY-100</t>
  </si>
  <si>
    <t>LY-110</t>
  </si>
  <si>
    <t>LY-115</t>
  </si>
  <si>
    <t>LY-117</t>
  </si>
  <si>
    <t>LY-121</t>
  </si>
  <si>
    <t>LY-122</t>
  </si>
  <si>
    <t>LY-123</t>
  </si>
  <si>
    <t>LY-127</t>
  </si>
  <si>
    <t>LY-130</t>
  </si>
  <si>
    <t>LY-131</t>
  </si>
  <si>
    <t>LY-132</t>
  </si>
  <si>
    <t>LY-138</t>
  </si>
  <si>
    <t>LY-143</t>
  </si>
  <si>
    <t>LY-147</t>
  </si>
  <si>
    <t>LY-149</t>
  </si>
  <si>
    <t>LY-151</t>
  </si>
  <si>
    <t>LY-153</t>
  </si>
  <si>
    <t>LY-156</t>
  </si>
  <si>
    <t>LY-158</t>
  </si>
  <si>
    <t>LY-159</t>
  </si>
  <si>
    <t>LY-164</t>
  </si>
  <si>
    <t>LY-173</t>
  </si>
  <si>
    <t>LY-175</t>
  </si>
  <si>
    <t>LY-176</t>
  </si>
  <si>
    <t>LY-177</t>
  </si>
  <si>
    <t>LY-179</t>
  </si>
  <si>
    <t>LY-180</t>
  </si>
  <si>
    <t>LY-183</t>
  </si>
  <si>
    <t>LY-184</t>
  </si>
  <si>
    <t>LY-185</t>
  </si>
  <si>
    <t>LY-186</t>
  </si>
  <si>
    <t>LY-189</t>
  </si>
  <si>
    <t>LY-201</t>
  </si>
  <si>
    <t>LY-203</t>
  </si>
  <si>
    <t>LY-209</t>
  </si>
  <si>
    <t>LY-215</t>
  </si>
  <si>
    <t>LY-216</t>
  </si>
  <si>
    <t>LY-218</t>
  </si>
  <si>
    <t>LY-219</t>
  </si>
  <si>
    <t>LY-221</t>
  </si>
  <si>
    <t>LY-223</t>
  </si>
  <si>
    <t>LY-224</t>
  </si>
  <si>
    <t>LY-226</t>
  </si>
  <si>
    <t>LY-227</t>
  </si>
  <si>
    <t>LY-236</t>
  </si>
  <si>
    <t>LY-239</t>
  </si>
  <si>
    <t>LY-241 H</t>
  </si>
  <si>
    <t>LY-242</t>
  </si>
  <si>
    <t>LY-251</t>
  </si>
  <si>
    <t>LY-252</t>
  </si>
  <si>
    <t>LY-253</t>
  </si>
  <si>
    <t>LY-259</t>
  </si>
  <si>
    <t>LY-263</t>
  </si>
  <si>
    <t>LY-266</t>
  </si>
  <si>
    <t>LY-267</t>
  </si>
  <si>
    <t>LY-272</t>
  </si>
  <si>
    <t>LY-274</t>
  </si>
  <si>
    <t>LY-275</t>
  </si>
  <si>
    <t>LY-276</t>
  </si>
  <si>
    <t>LY-279</t>
  </si>
  <si>
    <t>LY-282</t>
  </si>
  <si>
    <t>LY-283</t>
  </si>
  <si>
    <t>LY-285</t>
  </si>
  <si>
    <t>LY-286ST</t>
  </si>
  <si>
    <t>LY-287</t>
  </si>
  <si>
    <t>LY-288</t>
  </si>
  <si>
    <t>LY-289</t>
  </si>
  <si>
    <t>LY-290</t>
  </si>
  <si>
    <t>LY-296</t>
  </si>
  <si>
    <t>LY-297</t>
  </si>
  <si>
    <t>LY-298</t>
  </si>
  <si>
    <t>LY-299</t>
  </si>
  <si>
    <t>LY-301</t>
  </si>
  <si>
    <t>LY-302</t>
  </si>
  <si>
    <t>LY-303</t>
  </si>
  <si>
    <t>LY-305</t>
  </si>
  <si>
    <t>MCA-01</t>
  </si>
  <si>
    <t>MN X-03</t>
  </si>
  <si>
    <t>MN-006</t>
  </si>
  <si>
    <t>MN-06</t>
  </si>
  <si>
    <t>MN-08</t>
  </si>
  <si>
    <t>MN-100</t>
  </si>
  <si>
    <t>MN-101</t>
  </si>
  <si>
    <t>MN-14</t>
  </si>
  <si>
    <t>MN-17</t>
  </si>
  <si>
    <t>MN-25</t>
  </si>
  <si>
    <t>MN-27</t>
  </si>
  <si>
    <t>MN-29</t>
  </si>
  <si>
    <t>MN-38</t>
  </si>
  <si>
    <t>MN-56</t>
  </si>
  <si>
    <t>MN-57</t>
  </si>
  <si>
    <t>MN-58</t>
  </si>
  <si>
    <t>MN-59</t>
  </si>
  <si>
    <t>MN-63</t>
  </si>
  <si>
    <t>MN-66</t>
  </si>
  <si>
    <t>MN-68ST</t>
  </si>
  <si>
    <t>MN-72</t>
  </si>
  <si>
    <t>MN-73</t>
  </si>
  <si>
    <t>MN-77ST</t>
  </si>
  <si>
    <t>MN-78</t>
  </si>
  <si>
    <t>MN-80</t>
  </si>
  <si>
    <t>MN-82</t>
  </si>
  <si>
    <t>MN-85</t>
  </si>
  <si>
    <t>MN-87ST</t>
  </si>
  <si>
    <t>MN-89</t>
  </si>
  <si>
    <t>MN-92</t>
  </si>
  <si>
    <t>MN-93</t>
  </si>
  <si>
    <t>MN-94</t>
  </si>
  <si>
    <t>MN-96</t>
  </si>
  <si>
    <t>MN-97</t>
  </si>
  <si>
    <t>MN-98</t>
  </si>
  <si>
    <t>MN-99</t>
  </si>
  <si>
    <t>MOY-005</t>
  </si>
  <si>
    <t>RD-03</t>
  </si>
  <si>
    <t>RD-11</t>
  </si>
  <si>
    <t>RD-16</t>
  </si>
  <si>
    <t>REX NE-04</t>
  </si>
  <si>
    <t>REX NE-05ST</t>
  </si>
  <si>
    <t>REX NE-06</t>
  </si>
  <si>
    <t>REX-006</t>
  </si>
  <si>
    <t>REX-02</t>
  </si>
  <si>
    <t>REX-06</t>
  </si>
  <si>
    <t>REX-NE-01</t>
  </si>
  <si>
    <t>REX-NE-06</t>
  </si>
  <si>
    <t>REX-NE-07</t>
  </si>
  <si>
    <t>RO B</t>
  </si>
  <si>
    <t>POZO</t>
  </si>
  <si>
    <t>ALS</t>
  </si>
  <si>
    <t>AREA</t>
  </si>
  <si>
    <t>FORMACIÓN</t>
  </si>
  <si>
    <t>CONTRATO</t>
  </si>
  <si>
    <t>BWPD</t>
  </si>
  <si>
    <t>BOPD</t>
  </si>
  <si>
    <t>BFPD</t>
  </si>
  <si>
    <t>BSW</t>
  </si>
  <si>
    <t>Fracción Partículas de 45 a 106 Micrones</t>
  </si>
  <si>
    <t>Fracción Partículas de 106 a 212 Micrones</t>
  </si>
  <si>
    <t>Fracción Partículas de  212 a 425 Micrones</t>
  </si>
  <si>
    <t>Fracción Partículas de  250 a 425 Micrones</t>
  </si>
  <si>
    <t>Fracción Partículas Mayores a 425 Micrones</t>
  </si>
  <si>
    <t>CUADRILLA</t>
  </si>
  <si>
    <t>%</t>
  </si>
  <si>
    <t>ESP</t>
  </si>
  <si>
    <t>C5C-C5DA</t>
  </si>
  <si>
    <t>CRAVO NORTE</t>
  </si>
  <si>
    <t>C1</t>
  </si>
  <si>
    <t>M2A0-M2A1-M3B</t>
  </si>
  <si>
    <t>M2A</t>
  </si>
  <si>
    <t>CHIPIRON</t>
  </si>
  <si>
    <t>N/A</t>
  </si>
  <si>
    <t>COSECHA</t>
  </si>
  <si>
    <t>K1B1_ower</t>
  </si>
  <si>
    <t>K1B1_Upper</t>
  </si>
  <si>
    <t>M2A1</t>
  </si>
  <si>
    <t>M4S</t>
  </si>
  <si>
    <t>M2B</t>
  </si>
  <si>
    <t>M1A2</t>
  </si>
  <si>
    <t>K2A1-K2A</t>
  </si>
  <si>
    <t>K1A2_ower</t>
  </si>
  <si>
    <t>M1A1</t>
  </si>
  <si>
    <t>M2A0</t>
  </si>
  <si>
    <t>M1B</t>
  </si>
  <si>
    <t>C2</t>
  </si>
  <si>
    <t>M1A2-M1A1</t>
  </si>
  <si>
    <t>M3B-M2A1-M2B</t>
  </si>
  <si>
    <t>CRET</t>
  </si>
  <si>
    <t>C5dB</t>
  </si>
  <si>
    <t>C5dA</t>
  </si>
  <si>
    <t>K1A1_ower</t>
  </si>
  <si>
    <t>BM</t>
  </si>
  <si>
    <t>M2A0-M2A1</t>
  </si>
  <si>
    <t>M3B-M3A-M4S-M2A1-M4-M3C-M4A</t>
  </si>
  <si>
    <t>GUAFITA</t>
  </si>
  <si>
    <t>1714.1</t>
  </si>
  <si>
    <t>M3A-M2B-M2A0-GUAFITA</t>
  </si>
  <si>
    <t>K2-K2A</t>
  </si>
  <si>
    <t>C5a</t>
  </si>
  <si>
    <t>M3A-M2A0-M2A1-M2B-GUAFITA-M3B</t>
  </si>
  <si>
    <t>K2A</t>
  </si>
  <si>
    <t>M3A-M3B</t>
  </si>
  <si>
    <t>C5c-C5dA-C5dB</t>
  </si>
  <si>
    <t>K1C1_ower-K1C1</t>
  </si>
  <si>
    <t>K1B2_Upper</t>
  </si>
  <si>
    <t>MS</t>
  </si>
  <si>
    <t>M1A</t>
  </si>
  <si>
    <t>K1A2_Upper</t>
  </si>
  <si>
    <t>M4</t>
  </si>
  <si>
    <t>M1B-M1A2</t>
  </si>
  <si>
    <t>M2B-M2A0</t>
  </si>
  <si>
    <t>K1C2_Upper</t>
  </si>
  <si>
    <t>M3C</t>
  </si>
  <si>
    <t>M2B-M2A</t>
  </si>
  <si>
    <t>K1C1_ower-K1C2</t>
  </si>
  <si>
    <t>K2A_Reservoir_ower</t>
  </si>
  <si>
    <t>K1C2</t>
  </si>
  <si>
    <t>M3C-M3B-M2B</t>
  </si>
  <si>
    <t>M2A-M2A1</t>
  </si>
  <si>
    <t>C5c</t>
  </si>
  <si>
    <t>M2B-M3A</t>
  </si>
  <si>
    <t>M1A1-M1A2</t>
  </si>
  <si>
    <t>K1C1_ower</t>
  </si>
  <si>
    <t>K1D1-K1A1_Upper-K1C2_Upper-K1B1_Upper</t>
  </si>
  <si>
    <t>C5a-M1A1</t>
  </si>
  <si>
    <t>M2A-M2A1-M4A-M2B</t>
  </si>
  <si>
    <t>C5b</t>
  </si>
  <si>
    <t>K1A1-K1A2_Upper</t>
  </si>
  <si>
    <t>RONDON</t>
  </si>
  <si>
    <t>M3C-M4S</t>
  </si>
  <si>
    <t>M2A1-M2B-M3A</t>
  </si>
  <si>
    <t>M1A-M1A1</t>
  </si>
  <si>
    <t>C5b-C5c</t>
  </si>
  <si>
    <t>M3B</t>
  </si>
  <si>
    <t>K1B1_Upper-K1B1_ower</t>
  </si>
  <si>
    <t>C5_Middle</t>
  </si>
  <si>
    <t>M1B-M1A2-M1A1</t>
  </si>
  <si>
    <t>K2A1</t>
  </si>
  <si>
    <t>K1A1</t>
  </si>
  <si>
    <t>K1C1</t>
  </si>
  <si>
    <t>K2A_Reservoir_Middle</t>
  </si>
  <si>
    <t>K3_ower</t>
  </si>
  <si>
    <t>M2A0-GUAFITA</t>
  </si>
  <si>
    <t>M3C1-M4A</t>
  </si>
  <si>
    <t>C5dA-C5c</t>
  </si>
  <si>
    <t>M3C1</t>
  </si>
  <si>
    <t>C5_Middle-C5_ower</t>
  </si>
  <si>
    <t>REGISTRO</t>
  </si>
  <si>
    <t>FechaMonitoreo</t>
  </si>
  <si>
    <t>PPMaverage</t>
  </si>
  <si>
    <t>PPMmax</t>
  </si>
  <si>
    <t>P25to45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</si>
</sst>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center" vertical="center" shrinkToFit="1"/>
    </xf>
    <xf numFmtId="14" fontId="2" fillId="2" borderId="1" xfId="0" applyNumberFormat="1" applyFont="1" applyFill="1" applyBorder="1" applyAlignment="1">
      <alignment horizontal="center" vertical="center" wrapText="1" shrinkToFit="1"/>
    </xf>
    <xf numFmtId="43" fontId="2" fillId="2" borderId="1" xfId="1" applyFont="1" applyFill="1" applyBorder="1" applyAlignment="1">
      <alignment horizontal="center" vertical="center" wrapText="1" shrinkToFit="1"/>
    </xf>
    <xf numFmtId="9" fontId="2" fillId="2" borderId="1" xfId="2" applyFont="1" applyFill="1" applyBorder="1" applyAlignment="1">
      <alignment horizontal="center" vertical="center" wrapText="1" shrinkToFit="1"/>
    </xf>
    <xf numFmtId="49" fontId="2" fillId="2" borderId="1" xfId="0" applyNumberFormat="1" applyFont="1" applyFill="1" applyBorder="1" applyAlignment="1">
      <alignment horizontal="center" vertical="center" wrapText="1" shrinkToFi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43" fontId="0" fillId="0" borderId="1" xfId="1" applyFont="1" applyBorder="1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10" fontId="0" fillId="0" borderId="1" xfId="2" applyNumberFormat="1" applyFont="1" applyBorder="1" applyAlignment="1">
      <alignment horizontal="center" vertical="center"/>
    </xf>
    <xf numFmtId="49" fontId="0" fillId="0" borderId="1" xfId="2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/>
    </xf>
    <xf numFmtId="43" fontId="0" fillId="3" borderId="1" xfId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49" fontId="0" fillId="3" borderId="1" xfId="2" applyNumberFormat="1" applyFont="1" applyFill="1" applyBorder="1" applyAlignment="1">
      <alignment horizontal="center" vertical="center"/>
    </xf>
    <xf numFmtId="10" fontId="0" fillId="0" borderId="1" xfId="3" applyNumberFormat="1" applyFont="1" applyBorder="1" applyAlignment="1">
      <alignment horizontal="right" vertical="center"/>
    </xf>
  </cellXfs>
  <cellStyles count="4">
    <cellStyle name="Millares" xfId="1" builtinId="3"/>
    <cellStyle name="Normal" xfId="0" builtinId="0"/>
    <cellStyle name="Porcentaje" xfId="2" builtinId="5"/>
    <cellStyle name="Porcentaje 2" xfId="3" xr:uid="{CF0CB9BE-592A-4A11-8B39-00760850C11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JANDRO\Downloads\1_PROYEC-General%20Pozos-Monitoreo%20de%20S&#243;lidos%202020-2022-CLM%20-%20copia.xlsx" TargetMode="External"/><Relationship Id="rId1" Type="http://schemas.openxmlformats.org/officeDocument/2006/relationships/externalLinkPath" Target="/Users/ALEJANDRO/Downloads/1_PROYEC-General%20Pozos-Monitoreo%20de%20S&#243;lidos%202020-2022-CLM%20-%20copi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ools/Dropbox/RENE/1_OXY/CA&#209;O%20LIMON/2.1.%20Ordenamiento%20Pozos%20ACTUALIZADO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ools/Dropbox/RENE/1_OXY/CA&#209;O%20LIMON/CUADRILLAS/1_CUADRILLA_1/CONSOLIDADO%20TAMIZAJE_CUADRILLA%20%201_ARAUCA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4"/>
      <sheetName val="Hoja2"/>
      <sheetName val="DATOS_"/>
      <sheetName val="Hoja1"/>
      <sheetName val="Gráfica 1 Concentración"/>
      <sheetName val="Gráfica 2 Tamices"/>
      <sheetName val="Frecuencia"/>
      <sheetName val="Gráf Num Monitoreos Pozo"/>
      <sheetName val="DATOS-TORTA"/>
      <sheetName val="TORTA"/>
      <sheetName val="1_PROYEC-General Pozos-Monitore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>
        <row r="3">
          <cell r="B3" t="str">
            <v>ARG-01</v>
          </cell>
          <cell r="C3">
            <v>7151.07</v>
          </cell>
          <cell r="D3">
            <v>7152.4</v>
          </cell>
          <cell r="E3">
            <v>7151.07</v>
          </cell>
          <cell r="F3">
            <v>48</v>
          </cell>
          <cell r="G3">
            <v>0.99329999999999996</v>
          </cell>
          <cell r="H3">
            <v>0.99319999999999997</v>
          </cell>
          <cell r="I3">
            <v>0.99329999999999996</v>
          </cell>
          <cell r="J3" t="str">
            <v>M2A-M2A1</v>
          </cell>
          <cell r="K3" t="str">
            <v>CHIPIRON</v>
          </cell>
          <cell r="L3" t="str">
            <v>CHIPIRON</v>
          </cell>
          <cell r="M3" t="str">
            <v>CHIPIRON</v>
          </cell>
        </row>
        <row r="4">
          <cell r="B4" t="str">
            <v>BAY-01ST</v>
          </cell>
          <cell r="C4">
            <v>2141.23</v>
          </cell>
          <cell r="D4">
            <v>2141.23</v>
          </cell>
          <cell r="E4">
            <v>0</v>
          </cell>
          <cell r="F4">
            <v>20</v>
          </cell>
          <cell r="G4">
            <v>0.99080000000000001</v>
          </cell>
          <cell r="H4">
            <v>0.99080000000000001</v>
          </cell>
          <cell r="I4">
            <v>0</v>
          </cell>
          <cell r="J4" t="str">
            <v>M2A1-M2A</v>
          </cell>
          <cell r="K4" t="str">
            <v>CHIPIRON</v>
          </cell>
          <cell r="L4" t="str">
            <v>CHIPIRON</v>
          </cell>
          <cell r="M4">
            <v>0</v>
          </cell>
        </row>
        <row r="5">
          <cell r="B5" t="str">
            <v>BAY-02</v>
          </cell>
          <cell r="C5">
            <v>3902.76</v>
          </cell>
          <cell r="D5">
            <v>2856.99</v>
          </cell>
          <cell r="E5">
            <v>3902.76</v>
          </cell>
          <cell r="F5">
            <v>39</v>
          </cell>
          <cell r="G5">
            <v>0.9899</v>
          </cell>
          <cell r="H5">
            <v>0.98909999999999998</v>
          </cell>
          <cell r="I5">
            <v>0.9899</v>
          </cell>
          <cell r="J5" t="str">
            <v>M2A-M2A1-M4A-M2B</v>
          </cell>
          <cell r="K5" t="str">
            <v>CHIPIRON</v>
          </cell>
          <cell r="L5" t="str">
            <v>CHIPIRON</v>
          </cell>
          <cell r="M5" t="str">
            <v>CHIPIRON</v>
          </cell>
        </row>
        <row r="6">
          <cell r="B6" t="str">
            <v>BAY-04</v>
          </cell>
          <cell r="C6">
            <v>1341.46</v>
          </cell>
          <cell r="D6">
            <v>1380.13</v>
          </cell>
          <cell r="E6">
            <v>1341.46</v>
          </cell>
          <cell r="F6">
            <v>23</v>
          </cell>
          <cell r="G6">
            <v>0.98299999999999998</v>
          </cell>
          <cell r="H6">
            <v>0.98299999999999998</v>
          </cell>
          <cell r="I6">
            <v>0.98299999999999998</v>
          </cell>
          <cell r="J6" t="str">
            <v>M1A</v>
          </cell>
          <cell r="K6" t="str">
            <v>CHIPIRON</v>
          </cell>
          <cell r="L6" t="str">
            <v>CHIPIRON</v>
          </cell>
          <cell r="M6" t="str">
            <v>CHIPIRON</v>
          </cell>
        </row>
        <row r="7">
          <cell r="B7" t="str">
            <v>BAY-06</v>
          </cell>
          <cell r="C7">
            <v>3154.85</v>
          </cell>
          <cell r="D7">
            <v>3154.64</v>
          </cell>
          <cell r="E7">
            <v>3154.85</v>
          </cell>
          <cell r="F7">
            <v>13</v>
          </cell>
          <cell r="G7">
            <v>0.996</v>
          </cell>
          <cell r="H7">
            <v>0.99459999999999993</v>
          </cell>
          <cell r="I7">
            <v>0.996</v>
          </cell>
          <cell r="J7" t="str">
            <v>N/A</v>
          </cell>
          <cell r="K7" t="str">
            <v>CHIPIRON</v>
          </cell>
          <cell r="L7" t="str">
            <v>CHIPIRON</v>
          </cell>
          <cell r="M7" t="str">
            <v>CHIPIRON</v>
          </cell>
        </row>
        <row r="8">
          <cell r="B8" t="str">
            <v>CAL-01</v>
          </cell>
          <cell r="C8">
            <v>1870</v>
          </cell>
          <cell r="D8">
            <v>6939</v>
          </cell>
          <cell r="E8">
            <v>1870</v>
          </cell>
          <cell r="F8">
            <v>84</v>
          </cell>
          <cell r="G8">
            <v>0.95499999999999996</v>
          </cell>
          <cell r="H8">
            <v>0.98499999999999999</v>
          </cell>
          <cell r="I8">
            <v>0.95499999999999996</v>
          </cell>
          <cell r="J8" t="str">
            <v>C5_Middle</v>
          </cell>
          <cell r="K8" t="str">
            <v>RONDON</v>
          </cell>
          <cell r="L8" t="str">
            <v>RONDON</v>
          </cell>
          <cell r="M8" t="str">
            <v>RONDON</v>
          </cell>
        </row>
        <row r="9">
          <cell r="B9" t="str">
            <v>CC-001</v>
          </cell>
          <cell r="C9">
            <v>372</v>
          </cell>
          <cell r="D9">
            <v>519</v>
          </cell>
          <cell r="E9">
            <v>372</v>
          </cell>
          <cell r="F9">
            <v>316</v>
          </cell>
          <cell r="G9">
            <v>0.15</v>
          </cell>
          <cell r="H9">
            <v>0.14000000000000001</v>
          </cell>
          <cell r="I9">
            <v>0.15</v>
          </cell>
          <cell r="J9" t="str">
            <v>INT_GUAFITA</v>
          </cell>
          <cell r="K9" t="str">
            <v>RONDON</v>
          </cell>
          <cell r="L9" t="str">
            <v>RONDON</v>
          </cell>
          <cell r="M9" t="str">
            <v>RONDON</v>
          </cell>
        </row>
        <row r="10">
          <cell r="B10" t="str">
            <v>CC-003</v>
          </cell>
          <cell r="C10">
            <v>292</v>
          </cell>
          <cell r="D10">
            <v>304</v>
          </cell>
          <cell r="E10">
            <v>292</v>
          </cell>
          <cell r="F10">
            <v>73</v>
          </cell>
          <cell r="G10">
            <v>0.75</v>
          </cell>
          <cell r="H10">
            <v>0.77</v>
          </cell>
          <cell r="I10">
            <v>0.75</v>
          </cell>
          <cell r="J10" t="str">
            <v>K3_ower</v>
          </cell>
          <cell r="K10" t="str">
            <v>RONDON</v>
          </cell>
          <cell r="L10" t="str">
            <v>RONDON</v>
          </cell>
          <cell r="M10" t="str">
            <v>RONDON</v>
          </cell>
        </row>
        <row r="11">
          <cell r="B11" t="str">
            <v>CC-004</v>
          </cell>
          <cell r="C11">
            <v>6473</v>
          </cell>
          <cell r="D11">
            <v>6002</v>
          </cell>
          <cell r="E11">
            <v>6473</v>
          </cell>
          <cell r="F11">
            <v>32</v>
          </cell>
          <cell r="G11">
            <v>0.995</v>
          </cell>
          <cell r="H11">
            <v>0.99400000000000011</v>
          </cell>
          <cell r="I11">
            <v>0.995</v>
          </cell>
          <cell r="J11" t="str">
            <v>K3_ower</v>
          </cell>
          <cell r="K11" t="str">
            <v>RONDON</v>
          </cell>
          <cell r="L11" t="str">
            <v>RONDON</v>
          </cell>
          <cell r="M11" t="str">
            <v>RONDON</v>
          </cell>
        </row>
        <row r="12">
          <cell r="B12" t="str">
            <v>CC-005</v>
          </cell>
          <cell r="C12">
            <v>4922</v>
          </cell>
          <cell r="D12">
            <v>4300</v>
          </cell>
          <cell r="E12">
            <v>4922</v>
          </cell>
          <cell r="F12">
            <v>25</v>
          </cell>
          <cell r="G12">
            <v>0.995</v>
          </cell>
          <cell r="H12">
            <v>1</v>
          </cell>
          <cell r="I12">
            <v>0.995</v>
          </cell>
          <cell r="J12" t="str">
            <v>K2A_Reservoir_Middle</v>
          </cell>
          <cell r="K12" t="str">
            <v>RONDON</v>
          </cell>
          <cell r="L12" t="str">
            <v>RONDON</v>
          </cell>
          <cell r="M12" t="str">
            <v>RONDON</v>
          </cell>
        </row>
        <row r="13">
          <cell r="B13" t="str">
            <v>CC-008</v>
          </cell>
          <cell r="C13">
            <v>1703</v>
          </cell>
          <cell r="D13">
            <v>1703</v>
          </cell>
          <cell r="E13">
            <v>0</v>
          </cell>
          <cell r="F13">
            <v>17</v>
          </cell>
          <cell r="G13">
            <v>0.99</v>
          </cell>
          <cell r="H13">
            <v>0.99</v>
          </cell>
          <cell r="I13">
            <v>0</v>
          </cell>
          <cell r="J13" t="str">
            <v>M2B</v>
          </cell>
          <cell r="K13" t="str">
            <v>RONDON</v>
          </cell>
          <cell r="L13" t="str">
            <v>RONDON</v>
          </cell>
          <cell r="M13">
            <v>0</v>
          </cell>
        </row>
        <row r="14">
          <cell r="B14" t="str">
            <v>CC-010</v>
          </cell>
          <cell r="C14">
            <v>13781</v>
          </cell>
          <cell r="D14">
            <v>13463</v>
          </cell>
          <cell r="E14">
            <v>13781</v>
          </cell>
          <cell r="F14">
            <v>234</v>
          </cell>
          <cell r="G14">
            <v>0.98299999999999998</v>
          </cell>
          <cell r="H14">
            <v>0.9840000000000001</v>
          </cell>
          <cell r="I14">
            <v>0.98299999999999998</v>
          </cell>
          <cell r="J14" t="str">
            <v>K3_Upper-K3_ower</v>
          </cell>
          <cell r="K14" t="str">
            <v>RONDON</v>
          </cell>
          <cell r="L14" t="str">
            <v>RONDON</v>
          </cell>
          <cell r="M14" t="str">
            <v>RONDON</v>
          </cell>
        </row>
        <row r="15">
          <cell r="B15" t="str">
            <v>CC-011</v>
          </cell>
          <cell r="C15">
            <v>2039</v>
          </cell>
          <cell r="D15">
            <v>2039</v>
          </cell>
          <cell r="E15">
            <v>0</v>
          </cell>
          <cell r="F15">
            <v>41</v>
          </cell>
          <cell r="G15">
            <v>0.98</v>
          </cell>
          <cell r="H15">
            <v>0.98</v>
          </cell>
          <cell r="I15">
            <v>0</v>
          </cell>
          <cell r="J15" t="str">
            <v>M2A</v>
          </cell>
          <cell r="K15" t="str">
            <v>RONDON</v>
          </cell>
          <cell r="L15" t="str">
            <v>RONDON</v>
          </cell>
          <cell r="M15">
            <v>0</v>
          </cell>
        </row>
        <row r="16">
          <cell r="B16" t="str">
            <v>CC-012</v>
          </cell>
          <cell r="C16">
            <v>3558</v>
          </cell>
          <cell r="D16">
            <v>3559</v>
          </cell>
          <cell r="E16">
            <v>3558</v>
          </cell>
          <cell r="F16">
            <v>196</v>
          </cell>
          <cell r="G16">
            <v>0.94499999999999995</v>
          </cell>
          <cell r="H16">
            <v>0.95</v>
          </cell>
          <cell r="I16">
            <v>0.94499999999999995</v>
          </cell>
          <cell r="J16" t="str">
            <v>C5_Middle</v>
          </cell>
          <cell r="K16" t="str">
            <v>RONDON</v>
          </cell>
          <cell r="L16" t="str">
            <v>RONDON</v>
          </cell>
          <cell r="M16" t="str">
            <v>RONDON</v>
          </cell>
        </row>
        <row r="17">
          <cell r="B17" t="str">
            <v>CC-014</v>
          </cell>
          <cell r="C17">
            <v>3625</v>
          </cell>
          <cell r="D17">
            <v>3580</v>
          </cell>
          <cell r="E17">
            <v>3625</v>
          </cell>
          <cell r="F17">
            <v>145</v>
          </cell>
          <cell r="G17">
            <v>0.96</v>
          </cell>
          <cell r="H17">
            <v>0.96</v>
          </cell>
          <cell r="I17">
            <v>0.96</v>
          </cell>
          <cell r="J17" t="str">
            <v>C5_Middle</v>
          </cell>
          <cell r="K17" t="str">
            <v>RONDON</v>
          </cell>
          <cell r="L17" t="str">
            <v>RONDON</v>
          </cell>
          <cell r="M17" t="str">
            <v>RONDON</v>
          </cell>
        </row>
        <row r="18">
          <cell r="B18" t="str">
            <v>CC-015</v>
          </cell>
          <cell r="C18">
            <v>3444</v>
          </cell>
          <cell r="D18">
            <v>3446</v>
          </cell>
          <cell r="E18">
            <v>3444</v>
          </cell>
          <cell r="F18">
            <v>52</v>
          </cell>
          <cell r="G18">
            <v>0.98499999999999999</v>
          </cell>
          <cell r="H18">
            <v>0.98299999999999998</v>
          </cell>
          <cell r="I18">
            <v>0.98499999999999999</v>
          </cell>
          <cell r="J18" t="str">
            <v>K2A_Reservoir_Upper-K2A_Reservoir_Middle</v>
          </cell>
          <cell r="K18" t="str">
            <v>RONDON</v>
          </cell>
          <cell r="L18" t="str">
            <v>RONDON</v>
          </cell>
          <cell r="M18" t="str">
            <v>RONDON</v>
          </cell>
        </row>
        <row r="19">
          <cell r="B19" t="str">
            <v>CC-016</v>
          </cell>
          <cell r="C19">
            <v>2496</v>
          </cell>
          <cell r="D19">
            <v>3573</v>
          </cell>
          <cell r="E19">
            <v>2496</v>
          </cell>
          <cell r="F19">
            <v>75</v>
          </cell>
          <cell r="G19">
            <v>0.97</v>
          </cell>
          <cell r="H19">
            <v>1</v>
          </cell>
          <cell r="I19">
            <v>0.97</v>
          </cell>
          <cell r="J19" t="str">
            <v>M2B</v>
          </cell>
          <cell r="K19" t="str">
            <v>RONDON</v>
          </cell>
          <cell r="L19" t="str">
            <v>RONDON</v>
          </cell>
          <cell r="M19" t="str">
            <v>RONDON</v>
          </cell>
        </row>
        <row r="20">
          <cell r="B20" t="str">
            <v>CC-017</v>
          </cell>
          <cell r="C20">
            <v>339</v>
          </cell>
          <cell r="D20">
            <v>378</v>
          </cell>
          <cell r="E20">
            <v>339</v>
          </cell>
          <cell r="F20">
            <v>132</v>
          </cell>
          <cell r="G20">
            <v>0.61</v>
          </cell>
          <cell r="H20">
            <v>0.67</v>
          </cell>
          <cell r="I20">
            <v>0.61</v>
          </cell>
          <cell r="J20" t="str">
            <v>N/A</v>
          </cell>
          <cell r="K20" t="str">
            <v>RONDON</v>
          </cell>
          <cell r="L20" t="str">
            <v>RONDON</v>
          </cell>
          <cell r="M20" t="str">
            <v>RONDON</v>
          </cell>
        </row>
        <row r="21">
          <cell r="B21" t="str">
            <v>CC-018</v>
          </cell>
          <cell r="C21">
            <v>7883</v>
          </cell>
          <cell r="D21">
            <v>8484</v>
          </cell>
          <cell r="E21">
            <v>7883</v>
          </cell>
          <cell r="F21">
            <v>221</v>
          </cell>
          <cell r="G21">
            <v>0.97199999999999998</v>
          </cell>
          <cell r="H21">
            <v>0.97</v>
          </cell>
          <cell r="I21">
            <v>0.97199999999999998</v>
          </cell>
          <cell r="J21" t="str">
            <v>M1A-M1A1</v>
          </cell>
          <cell r="K21" t="str">
            <v>RONDON</v>
          </cell>
          <cell r="L21" t="str">
            <v>RONDON</v>
          </cell>
          <cell r="M21" t="str">
            <v>RONDON</v>
          </cell>
        </row>
        <row r="22">
          <cell r="B22" t="str">
            <v>CC-019</v>
          </cell>
          <cell r="C22">
            <v>9177</v>
          </cell>
          <cell r="D22">
            <v>9285</v>
          </cell>
          <cell r="E22">
            <v>9177</v>
          </cell>
          <cell r="F22">
            <v>138</v>
          </cell>
          <cell r="G22">
            <v>0.98499999999999999</v>
          </cell>
          <cell r="H22">
            <v>0.98499999999999999</v>
          </cell>
          <cell r="I22">
            <v>0.98499999999999999</v>
          </cell>
          <cell r="J22" t="str">
            <v>K3_ower-K3_Upper</v>
          </cell>
          <cell r="K22" t="str">
            <v>RONDON</v>
          </cell>
          <cell r="L22" t="str">
            <v>RONDON</v>
          </cell>
          <cell r="M22" t="str">
            <v>RONDON</v>
          </cell>
        </row>
        <row r="23">
          <cell r="B23" t="str">
            <v>CC-020ST</v>
          </cell>
          <cell r="C23">
            <v>190</v>
          </cell>
          <cell r="D23">
            <v>190</v>
          </cell>
          <cell r="E23">
            <v>0</v>
          </cell>
          <cell r="F23">
            <v>122</v>
          </cell>
          <cell r="G23">
            <v>0.36</v>
          </cell>
          <cell r="H23">
            <v>0.36</v>
          </cell>
          <cell r="I23">
            <v>0</v>
          </cell>
          <cell r="J23" t="str">
            <v>M1A</v>
          </cell>
          <cell r="K23" t="str">
            <v>RONDON</v>
          </cell>
          <cell r="L23" t="str">
            <v>RONDON</v>
          </cell>
          <cell r="M23">
            <v>0</v>
          </cell>
        </row>
        <row r="24">
          <cell r="B24" t="str">
            <v>CC-024</v>
          </cell>
          <cell r="C24">
            <v>1807</v>
          </cell>
          <cell r="D24">
            <v>1731</v>
          </cell>
          <cell r="E24">
            <v>1807</v>
          </cell>
          <cell r="F24">
            <v>154</v>
          </cell>
          <cell r="G24">
            <v>0.91500000000000004</v>
          </cell>
          <cell r="H24">
            <v>0.85</v>
          </cell>
          <cell r="I24">
            <v>0.91500000000000004</v>
          </cell>
          <cell r="J24" t="str">
            <v>K3_ower</v>
          </cell>
          <cell r="K24" t="str">
            <v>RONDON</v>
          </cell>
          <cell r="L24" t="str">
            <v>RONDON</v>
          </cell>
          <cell r="M24" t="str">
            <v>RONDON</v>
          </cell>
        </row>
        <row r="25">
          <cell r="B25" t="str">
            <v>CC-026</v>
          </cell>
          <cell r="C25">
            <v>1913</v>
          </cell>
          <cell r="D25">
            <v>1891</v>
          </cell>
          <cell r="E25">
            <v>1913</v>
          </cell>
          <cell r="F25">
            <v>67</v>
          </cell>
          <cell r="G25">
            <v>0.96499999999999997</v>
          </cell>
          <cell r="H25">
            <v>0.96499999999999997</v>
          </cell>
          <cell r="I25">
            <v>0.96499999999999997</v>
          </cell>
          <cell r="J25" t="str">
            <v>K3_ower</v>
          </cell>
          <cell r="K25" t="str">
            <v>RONDON</v>
          </cell>
          <cell r="L25" t="str">
            <v>RONDON</v>
          </cell>
          <cell r="M25" t="str">
            <v>RONDON</v>
          </cell>
        </row>
        <row r="26">
          <cell r="B26" t="str">
            <v>CC-027</v>
          </cell>
          <cell r="C26">
            <v>6708</v>
          </cell>
          <cell r="D26">
            <v>6780</v>
          </cell>
          <cell r="E26">
            <v>6708</v>
          </cell>
          <cell r="F26">
            <v>335</v>
          </cell>
          <cell r="G26">
            <v>0.95</v>
          </cell>
          <cell r="H26">
            <v>0.94499999999999995</v>
          </cell>
          <cell r="I26">
            <v>0.95</v>
          </cell>
          <cell r="J26" t="str">
            <v>M2B</v>
          </cell>
          <cell r="K26" t="str">
            <v>RONDON</v>
          </cell>
          <cell r="L26" t="str">
            <v>RONDON</v>
          </cell>
          <cell r="M26" t="str">
            <v>RONDON</v>
          </cell>
        </row>
        <row r="27">
          <cell r="B27" t="str">
            <v>CC-028</v>
          </cell>
          <cell r="C27">
            <v>5961</v>
          </cell>
          <cell r="D27">
            <v>5642</v>
          </cell>
          <cell r="E27">
            <v>5961</v>
          </cell>
          <cell r="F27">
            <v>586</v>
          </cell>
          <cell r="G27">
            <v>0.90175801011804391</v>
          </cell>
          <cell r="H27">
            <v>0.89419999999999999</v>
          </cell>
          <cell r="I27">
            <v>0.90175801011804391</v>
          </cell>
          <cell r="J27" t="str">
            <v>M1A</v>
          </cell>
          <cell r="K27" t="str">
            <v>RONDON</v>
          </cell>
          <cell r="L27" t="str">
            <v>RONDON</v>
          </cell>
          <cell r="M27" t="str">
            <v>RONDON</v>
          </cell>
        </row>
        <row r="28">
          <cell r="B28" t="str">
            <v>CC-028K</v>
          </cell>
          <cell r="C28">
            <v>1788</v>
          </cell>
          <cell r="D28">
            <v>1788</v>
          </cell>
          <cell r="E28">
            <v>0</v>
          </cell>
          <cell r="F28">
            <v>1788</v>
          </cell>
          <cell r="G28">
            <v>0</v>
          </cell>
          <cell r="H28">
            <v>0</v>
          </cell>
          <cell r="I28">
            <v>0</v>
          </cell>
          <cell r="J28" t="str">
            <v xml:space="preserve"> </v>
          </cell>
          <cell r="K28">
            <v>0</v>
          </cell>
          <cell r="L28">
            <v>0</v>
          </cell>
          <cell r="M28">
            <v>0</v>
          </cell>
        </row>
        <row r="29">
          <cell r="B29" t="str">
            <v>CC-028M</v>
          </cell>
          <cell r="C29">
            <v>3669</v>
          </cell>
          <cell r="D29">
            <v>3669</v>
          </cell>
          <cell r="E29">
            <v>0</v>
          </cell>
          <cell r="F29">
            <v>3669</v>
          </cell>
          <cell r="G29">
            <v>0</v>
          </cell>
          <cell r="H29">
            <v>0</v>
          </cell>
          <cell r="I29">
            <v>0</v>
          </cell>
          <cell r="J29" t="str">
            <v xml:space="preserve"> </v>
          </cell>
          <cell r="K29">
            <v>0</v>
          </cell>
          <cell r="L29">
            <v>0</v>
          </cell>
          <cell r="M29">
            <v>0</v>
          </cell>
        </row>
        <row r="30">
          <cell r="B30" t="str">
            <v>CH-03</v>
          </cell>
          <cell r="C30">
            <v>8060</v>
          </cell>
          <cell r="D30">
            <v>7855</v>
          </cell>
          <cell r="E30">
            <v>8060</v>
          </cell>
          <cell r="F30">
            <v>129</v>
          </cell>
          <cell r="G30">
            <v>0.9840000000000001</v>
          </cell>
          <cell r="H30">
            <v>0.98299999999999998</v>
          </cell>
          <cell r="I30">
            <v>0.9840000000000001</v>
          </cell>
          <cell r="J30" t="str">
            <v>K2A</v>
          </cell>
          <cell r="K30" t="str">
            <v>CHIPIRON</v>
          </cell>
          <cell r="L30" t="str">
            <v>CHIPIRON</v>
          </cell>
          <cell r="M30" t="str">
            <v>CHIPIRON</v>
          </cell>
        </row>
        <row r="31">
          <cell r="B31" t="str">
            <v>CH-04</v>
          </cell>
          <cell r="C31">
            <v>2855</v>
          </cell>
          <cell r="D31">
            <v>2855</v>
          </cell>
          <cell r="E31">
            <v>0</v>
          </cell>
          <cell r="F31">
            <v>29</v>
          </cell>
          <cell r="G31">
            <v>0.99</v>
          </cell>
          <cell r="H31">
            <v>0.99</v>
          </cell>
          <cell r="I31">
            <v>0</v>
          </cell>
          <cell r="J31" t="str">
            <v>M2B</v>
          </cell>
          <cell r="K31" t="str">
            <v>CHIPIRON</v>
          </cell>
          <cell r="L31" t="str">
            <v>CHIPIRON</v>
          </cell>
          <cell r="M31">
            <v>0</v>
          </cell>
        </row>
        <row r="32">
          <cell r="B32" t="str">
            <v>CH-05</v>
          </cell>
          <cell r="C32">
            <v>4790</v>
          </cell>
          <cell r="D32">
            <v>4765</v>
          </cell>
          <cell r="E32">
            <v>4790</v>
          </cell>
          <cell r="F32">
            <v>144</v>
          </cell>
          <cell r="G32">
            <v>0.97</v>
          </cell>
          <cell r="H32">
            <v>0.96299999999999997</v>
          </cell>
          <cell r="I32">
            <v>0.97</v>
          </cell>
          <cell r="J32" t="str">
            <v>M2B</v>
          </cell>
          <cell r="K32" t="str">
            <v>CHIPIRON</v>
          </cell>
          <cell r="L32" t="str">
            <v>CHIPIRON</v>
          </cell>
          <cell r="M32" t="str">
            <v>CHIPIRON</v>
          </cell>
        </row>
        <row r="33">
          <cell r="B33" t="str">
            <v>CH-06</v>
          </cell>
          <cell r="C33">
            <v>6680</v>
          </cell>
          <cell r="D33">
            <v>6850</v>
          </cell>
          <cell r="E33">
            <v>6680</v>
          </cell>
          <cell r="F33">
            <v>194</v>
          </cell>
          <cell r="G33">
            <v>0.97099999999999997</v>
          </cell>
          <cell r="H33">
            <v>0.97099999999999997</v>
          </cell>
          <cell r="I33">
            <v>0.97099999999999997</v>
          </cell>
          <cell r="J33" t="str">
            <v>M1A</v>
          </cell>
          <cell r="K33" t="str">
            <v>CHIPIRON</v>
          </cell>
          <cell r="L33" t="str">
            <v>CHIPIRON</v>
          </cell>
          <cell r="M33" t="str">
            <v>CHIPIRON</v>
          </cell>
        </row>
        <row r="34">
          <cell r="B34" t="str">
            <v>CH-07</v>
          </cell>
          <cell r="C34">
            <v>4585</v>
          </cell>
          <cell r="D34">
            <v>4615</v>
          </cell>
          <cell r="E34">
            <v>4585</v>
          </cell>
          <cell r="F34">
            <v>202</v>
          </cell>
          <cell r="G34">
            <v>0.95599999999999996</v>
          </cell>
          <cell r="H34">
            <v>0.95829999999999993</v>
          </cell>
          <cell r="I34">
            <v>0.95599999999999996</v>
          </cell>
          <cell r="J34" t="str">
            <v>INT_GUAFITA</v>
          </cell>
          <cell r="K34" t="str">
            <v>CHIPIRON</v>
          </cell>
          <cell r="L34" t="str">
            <v>CHIPIRON</v>
          </cell>
          <cell r="M34" t="str">
            <v>CHIPIRON</v>
          </cell>
        </row>
        <row r="35">
          <cell r="B35" t="str">
            <v>CH-08</v>
          </cell>
          <cell r="C35">
            <v>4005</v>
          </cell>
          <cell r="D35">
            <v>4150</v>
          </cell>
          <cell r="E35">
            <v>4005</v>
          </cell>
          <cell r="F35">
            <v>160</v>
          </cell>
          <cell r="G35">
            <v>0.96</v>
          </cell>
          <cell r="H35">
            <v>0.95200000000000007</v>
          </cell>
          <cell r="I35">
            <v>0.96</v>
          </cell>
          <cell r="J35" t="str">
            <v>M1A</v>
          </cell>
          <cell r="K35" t="str">
            <v>CHIPIRON</v>
          </cell>
          <cell r="L35" t="str">
            <v>CHIPIRON</v>
          </cell>
          <cell r="M35" t="str">
            <v>CHIPIRON</v>
          </cell>
        </row>
        <row r="36">
          <cell r="B36" t="str">
            <v>CH-09</v>
          </cell>
          <cell r="C36">
            <v>2940</v>
          </cell>
          <cell r="D36">
            <v>2460</v>
          </cell>
          <cell r="E36">
            <v>2940</v>
          </cell>
          <cell r="F36">
            <v>212</v>
          </cell>
          <cell r="G36">
            <v>0.92799999999999994</v>
          </cell>
          <cell r="H36">
            <v>0.84</v>
          </cell>
          <cell r="I36">
            <v>0.92799999999999994</v>
          </cell>
          <cell r="J36" t="str">
            <v>K2-K2A</v>
          </cell>
          <cell r="K36" t="str">
            <v>CHIPIRON</v>
          </cell>
          <cell r="L36" t="str">
            <v>CHIPIRON</v>
          </cell>
          <cell r="M36" t="str">
            <v>CHIPIRON</v>
          </cell>
        </row>
        <row r="37">
          <cell r="B37" t="str">
            <v>CH-10</v>
          </cell>
          <cell r="C37">
            <v>1130</v>
          </cell>
          <cell r="D37">
            <v>1145</v>
          </cell>
          <cell r="E37">
            <v>1130</v>
          </cell>
          <cell r="F37">
            <v>633</v>
          </cell>
          <cell r="G37">
            <v>0.44</v>
          </cell>
          <cell r="H37">
            <v>0.44</v>
          </cell>
          <cell r="I37">
            <v>0.44</v>
          </cell>
          <cell r="J37" t="str">
            <v>M1A</v>
          </cell>
          <cell r="K37" t="str">
            <v>CHIPIRON</v>
          </cell>
          <cell r="L37" t="str">
            <v>CHIPIRON</v>
          </cell>
          <cell r="M37" t="str">
            <v>CHIPIRON</v>
          </cell>
        </row>
        <row r="38">
          <cell r="B38" t="str">
            <v>CH-11</v>
          </cell>
          <cell r="C38">
            <v>14685</v>
          </cell>
          <cell r="D38">
            <v>14550</v>
          </cell>
          <cell r="E38">
            <v>14685</v>
          </cell>
          <cell r="F38">
            <v>228</v>
          </cell>
          <cell r="G38">
            <v>0.98450000000000004</v>
          </cell>
          <cell r="H38">
            <v>0.98569999999999991</v>
          </cell>
          <cell r="I38">
            <v>0.98450000000000004</v>
          </cell>
          <cell r="J38" t="str">
            <v>M2B</v>
          </cell>
          <cell r="K38" t="str">
            <v>CHIPIRON</v>
          </cell>
          <cell r="L38" t="str">
            <v>CHIPIRON</v>
          </cell>
          <cell r="M38" t="str">
            <v>CHIPIRON</v>
          </cell>
        </row>
        <row r="39">
          <cell r="B39" t="str">
            <v>CH-14</v>
          </cell>
          <cell r="C39">
            <v>8435</v>
          </cell>
          <cell r="D39">
            <v>8250</v>
          </cell>
          <cell r="E39">
            <v>8435</v>
          </cell>
          <cell r="F39">
            <v>211</v>
          </cell>
          <cell r="G39">
            <v>0.97499999999999998</v>
          </cell>
          <cell r="H39">
            <v>0.97109999999999996</v>
          </cell>
          <cell r="I39">
            <v>0.97499999999999998</v>
          </cell>
          <cell r="J39" t="str">
            <v>M2B-M2A</v>
          </cell>
          <cell r="K39" t="str">
            <v>CHIPIRON</v>
          </cell>
          <cell r="L39" t="str">
            <v>CHIPIRON</v>
          </cell>
          <cell r="M39" t="str">
            <v>CHIPIRON</v>
          </cell>
        </row>
        <row r="40">
          <cell r="B40" t="str">
            <v>CH-15</v>
          </cell>
          <cell r="C40">
            <v>6520</v>
          </cell>
          <cell r="D40">
            <v>6540</v>
          </cell>
          <cell r="E40">
            <v>6520</v>
          </cell>
          <cell r="F40">
            <v>297</v>
          </cell>
          <cell r="G40">
            <v>0.95450000000000002</v>
          </cell>
          <cell r="H40">
            <v>0.95200000000000007</v>
          </cell>
          <cell r="I40">
            <v>0.95450000000000002</v>
          </cell>
          <cell r="J40" t="str">
            <v>M1A</v>
          </cell>
          <cell r="K40" t="str">
            <v>CHIPIRON</v>
          </cell>
          <cell r="L40" t="str">
            <v>CHIPIRON</v>
          </cell>
          <cell r="M40" t="str">
            <v>CHIPIRON</v>
          </cell>
        </row>
        <row r="41">
          <cell r="B41" t="str">
            <v>CH-16</v>
          </cell>
          <cell r="C41">
            <v>4475</v>
          </cell>
          <cell r="D41">
            <v>4645</v>
          </cell>
          <cell r="E41">
            <v>4475</v>
          </cell>
          <cell r="F41">
            <v>45</v>
          </cell>
          <cell r="G41">
            <v>0.99</v>
          </cell>
          <cell r="H41">
            <v>0.9899</v>
          </cell>
          <cell r="I41">
            <v>0.99</v>
          </cell>
          <cell r="J41" t="str">
            <v>M2A</v>
          </cell>
          <cell r="K41" t="str">
            <v>CHIPIRON</v>
          </cell>
          <cell r="L41" t="str">
            <v>CHIPIRON</v>
          </cell>
          <cell r="M41" t="str">
            <v>CHIPIRON</v>
          </cell>
        </row>
        <row r="42">
          <cell r="B42" t="str">
            <v>CH-17</v>
          </cell>
          <cell r="C42">
            <v>1635</v>
          </cell>
          <cell r="D42">
            <v>1645</v>
          </cell>
          <cell r="E42">
            <v>1635</v>
          </cell>
          <cell r="F42">
            <v>18</v>
          </cell>
          <cell r="G42">
            <v>0.9890000000000001</v>
          </cell>
          <cell r="H42">
            <v>0.98799999999999999</v>
          </cell>
          <cell r="I42">
            <v>0.9890000000000001</v>
          </cell>
          <cell r="J42" t="str">
            <v>M3A</v>
          </cell>
          <cell r="K42" t="str">
            <v>CHIPIRON</v>
          </cell>
          <cell r="L42" t="str">
            <v>CHIPIRON</v>
          </cell>
          <cell r="M42" t="str">
            <v>CHIPIRON</v>
          </cell>
        </row>
        <row r="43">
          <cell r="B43" t="str">
            <v>CH-18</v>
          </cell>
          <cell r="C43">
            <v>2080</v>
          </cell>
          <cell r="D43">
            <v>1951</v>
          </cell>
          <cell r="E43">
            <v>2080</v>
          </cell>
          <cell r="F43">
            <v>104</v>
          </cell>
          <cell r="G43">
            <v>0.95</v>
          </cell>
          <cell r="H43">
            <v>0.95</v>
          </cell>
          <cell r="I43">
            <v>0.95</v>
          </cell>
          <cell r="J43" t="str">
            <v>N/A</v>
          </cell>
          <cell r="K43" t="str">
            <v>CHIPIRON</v>
          </cell>
          <cell r="L43" t="str">
            <v>CHIPIRON</v>
          </cell>
          <cell r="M43" t="str">
            <v>CHIPIRON</v>
          </cell>
        </row>
        <row r="44">
          <cell r="B44" t="str">
            <v>CH-19</v>
          </cell>
          <cell r="C44">
            <v>11265</v>
          </cell>
          <cell r="D44">
            <v>11445</v>
          </cell>
          <cell r="E44">
            <v>11265</v>
          </cell>
          <cell r="F44">
            <v>169</v>
          </cell>
          <cell r="G44">
            <v>0.98499999999999999</v>
          </cell>
          <cell r="H44">
            <v>0.98499999999999999</v>
          </cell>
          <cell r="I44">
            <v>0.98499999999999999</v>
          </cell>
          <cell r="J44" t="str">
            <v>M2A</v>
          </cell>
          <cell r="K44" t="str">
            <v>CHIPIRON</v>
          </cell>
          <cell r="L44" t="str">
            <v>CHIPIRON</v>
          </cell>
          <cell r="M44" t="str">
            <v>CHIPIRON</v>
          </cell>
        </row>
        <row r="45">
          <cell r="B45" t="str">
            <v>CH-20</v>
          </cell>
          <cell r="C45">
            <v>10085</v>
          </cell>
          <cell r="D45">
            <v>10170</v>
          </cell>
          <cell r="E45">
            <v>10085</v>
          </cell>
          <cell r="F45">
            <v>151</v>
          </cell>
          <cell r="G45">
            <v>0.98499999999999999</v>
          </cell>
          <cell r="H45">
            <v>0.98499999999999999</v>
          </cell>
          <cell r="I45">
            <v>0.98499999999999999</v>
          </cell>
          <cell r="J45" t="str">
            <v>M2A</v>
          </cell>
          <cell r="K45" t="str">
            <v>CHIPIRON</v>
          </cell>
          <cell r="L45" t="str">
            <v>CHIPIRON</v>
          </cell>
          <cell r="M45" t="str">
            <v>CHIPIRON</v>
          </cell>
        </row>
        <row r="46">
          <cell r="B46" t="str">
            <v>CH-21ST</v>
          </cell>
          <cell r="C46">
            <v>5425</v>
          </cell>
          <cell r="D46">
            <v>5525</v>
          </cell>
          <cell r="E46">
            <v>5425</v>
          </cell>
          <cell r="F46">
            <v>71</v>
          </cell>
          <cell r="G46">
            <v>0.98699999999999999</v>
          </cell>
          <cell r="H46">
            <v>0.98299999999999998</v>
          </cell>
          <cell r="I46">
            <v>0.98699999999999999</v>
          </cell>
          <cell r="J46" t="str">
            <v>M2B</v>
          </cell>
          <cell r="K46" t="str">
            <v>CHIPIRON</v>
          </cell>
          <cell r="L46" t="str">
            <v>CHIPIRON</v>
          </cell>
          <cell r="M46" t="str">
            <v>CHIPIRON</v>
          </cell>
        </row>
        <row r="47">
          <cell r="B47" t="str">
            <v>CH-22</v>
          </cell>
          <cell r="C47">
            <v>2580</v>
          </cell>
          <cell r="D47">
            <v>3310</v>
          </cell>
          <cell r="E47">
            <v>2580</v>
          </cell>
          <cell r="F47">
            <v>34</v>
          </cell>
          <cell r="G47">
            <v>0.98699999999999999</v>
          </cell>
          <cell r="H47">
            <v>0.98699999999999999</v>
          </cell>
          <cell r="I47">
            <v>0.98699999999999999</v>
          </cell>
          <cell r="J47" t="str">
            <v>K2A</v>
          </cell>
          <cell r="K47" t="str">
            <v>CHIPIRON</v>
          </cell>
          <cell r="L47" t="str">
            <v>CHIPIRON</v>
          </cell>
          <cell r="M47" t="str">
            <v>CHIPIRON</v>
          </cell>
        </row>
        <row r="48">
          <cell r="B48" t="str">
            <v>CH-23</v>
          </cell>
          <cell r="C48">
            <v>3130</v>
          </cell>
          <cell r="D48">
            <v>3185</v>
          </cell>
          <cell r="E48">
            <v>3130</v>
          </cell>
          <cell r="F48">
            <v>203</v>
          </cell>
          <cell r="G48">
            <v>0.93500000000000005</v>
          </cell>
          <cell r="H48">
            <v>0.93500000000000005</v>
          </cell>
          <cell r="I48">
            <v>0.93500000000000005</v>
          </cell>
          <cell r="J48" t="str">
            <v>M1A</v>
          </cell>
          <cell r="K48" t="str">
            <v>CHIPIRON</v>
          </cell>
          <cell r="L48" t="str">
            <v>CHIPIRON</v>
          </cell>
          <cell r="M48" t="str">
            <v>CHIPIRON</v>
          </cell>
        </row>
        <row r="49">
          <cell r="B49" t="str">
            <v>CH-24</v>
          </cell>
          <cell r="C49">
            <v>3820</v>
          </cell>
          <cell r="D49">
            <v>3800</v>
          </cell>
          <cell r="E49">
            <v>3820</v>
          </cell>
          <cell r="F49">
            <v>61</v>
          </cell>
          <cell r="G49">
            <v>0.98409999999999997</v>
          </cell>
          <cell r="H49">
            <v>0.98409999999999997</v>
          </cell>
          <cell r="I49">
            <v>0.98409999999999997</v>
          </cell>
          <cell r="J49" t="str">
            <v>K2-K2A</v>
          </cell>
          <cell r="K49" t="str">
            <v>CHIPIRON</v>
          </cell>
          <cell r="L49" t="str">
            <v>CHIPIRON</v>
          </cell>
          <cell r="M49" t="str">
            <v>CHIPIRON</v>
          </cell>
        </row>
        <row r="50">
          <cell r="B50" t="str">
            <v>CH-25</v>
          </cell>
          <cell r="C50">
            <v>7175</v>
          </cell>
          <cell r="D50">
            <v>7890</v>
          </cell>
          <cell r="E50">
            <v>7175</v>
          </cell>
          <cell r="F50">
            <v>72</v>
          </cell>
          <cell r="G50">
            <v>0.9899</v>
          </cell>
          <cell r="H50">
            <v>0.9899</v>
          </cell>
          <cell r="I50">
            <v>0.9899</v>
          </cell>
          <cell r="J50" t="str">
            <v>M2A</v>
          </cell>
          <cell r="K50" t="str">
            <v>CHIPIRON</v>
          </cell>
          <cell r="L50" t="str">
            <v>CHIPIRON</v>
          </cell>
          <cell r="M50" t="str">
            <v>CHIPIRON</v>
          </cell>
        </row>
        <row r="51">
          <cell r="B51" t="str">
            <v>CH-26</v>
          </cell>
          <cell r="C51">
            <v>5895</v>
          </cell>
          <cell r="D51">
            <v>5700</v>
          </cell>
          <cell r="E51">
            <v>5895</v>
          </cell>
          <cell r="F51">
            <v>195</v>
          </cell>
          <cell r="G51">
            <v>0.96700000000000008</v>
          </cell>
          <cell r="H51">
            <v>0.97589999999999999</v>
          </cell>
          <cell r="I51">
            <v>0.96700000000000008</v>
          </cell>
          <cell r="J51" t="str">
            <v>INT_GUAFITA</v>
          </cell>
          <cell r="K51" t="str">
            <v>CHIPIRON</v>
          </cell>
          <cell r="L51" t="str">
            <v>CHIPIRON</v>
          </cell>
          <cell r="M51" t="str">
            <v>CHIPIRON</v>
          </cell>
        </row>
        <row r="52">
          <cell r="B52" t="str">
            <v>CH-27</v>
          </cell>
          <cell r="C52">
            <v>480</v>
          </cell>
          <cell r="D52">
            <v>480</v>
          </cell>
          <cell r="E52">
            <v>0</v>
          </cell>
          <cell r="F52">
            <v>134</v>
          </cell>
          <cell r="G52">
            <v>0.72</v>
          </cell>
          <cell r="H52">
            <v>0.72</v>
          </cell>
          <cell r="I52">
            <v>0</v>
          </cell>
          <cell r="J52" t="str">
            <v>M1A</v>
          </cell>
          <cell r="K52" t="str">
            <v>CHIPIRON</v>
          </cell>
          <cell r="L52" t="str">
            <v>CHIPIRON</v>
          </cell>
          <cell r="M52">
            <v>0</v>
          </cell>
        </row>
        <row r="53">
          <cell r="B53" t="str">
            <v>CH-28</v>
          </cell>
          <cell r="C53">
            <v>7300</v>
          </cell>
          <cell r="D53">
            <v>6500</v>
          </cell>
          <cell r="E53">
            <v>7300</v>
          </cell>
          <cell r="F53">
            <v>4745</v>
          </cell>
          <cell r="G53">
            <v>0.35</v>
          </cell>
          <cell r="H53">
            <v>0.35</v>
          </cell>
          <cell r="I53">
            <v>0.92299999999999993</v>
          </cell>
          <cell r="J53" t="str">
            <v xml:space="preserve"> </v>
          </cell>
          <cell r="K53" t="str">
            <v>CHIPIRON</v>
          </cell>
          <cell r="L53" t="str">
            <v>CHIPIRON</v>
          </cell>
          <cell r="M53" t="str">
            <v>CHIPIRON</v>
          </cell>
        </row>
        <row r="54">
          <cell r="B54" t="str">
            <v>CH-29</v>
          </cell>
          <cell r="C54">
            <v>4130</v>
          </cell>
          <cell r="D54">
            <v>4065</v>
          </cell>
          <cell r="E54">
            <v>4130</v>
          </cell>
          <cell r="F54">
            <v>186</v>
          </cell>
          <cell r="G54">
            <v>0.95499999999999996</v>
          </cell>
          <cell r="H54">
            <v>0.94169999999999998</v>
          </cell>
          <cell r="I54">
            <v>0.95499999999999996</v>
          </cell>
          <cell r="J54" t="str">
            <v xml:space="preserve"> </v>
          </cell>
          <cell r="K54" t="str">
            <v>CHIPIRON</v>
          </cell>
          <cell r="L54" t="str">
            <v>CHIPIRON</v>
          </cell>
          <cell r="M54" t="str">
            <v>CHIPIRON</v>
          </cell>
        </row>
        <row r="55">
          <cell r="B55" t="str">
            <v>CHI T-02</v>
          </cell>
          <cell r="C55">
            <v>8300</v>
          </cell>
          <cell r="D55">
            <v>17295</v>
          </cell>
          <cell r="E55">
            <v>8300</v>
          </cell>
          <cell r="F55">
            <v>25</v>
          </cell>
          <cell r="G55">
            <v>0.997</v>
          </cell>
          <cell r="H55">
            <v>0.997</v>
          </cell>
          <cell r="I55">
            <v>0.997</v>
          </cell>
          <cell r="J55" t="str">
            <v>M1A-M2A</v>
          </cell>
          <cell r="K55" t="str">
            <v>CHIPIRON</v>
          </cell>
          <cell r="L55" t="str">
            <v>CHIPIRON</v>
          </cell>
          <cell r="M55" t="str">
            <v>CHIPIRON</v>
          </cell>
        </row>
        <row r="56">
          <cell r="B56" t="str">
            <v>CL-02</v>
          </cell>
          <cell r="C56">
            <v>206.93</v>
          </cell>
          <cell r="D56">
            <v>206.53</v>
          </cell>
          <cell r="E56">
            <v>206.93</v>
          </cell>
          <cell r="F56">
            <v>21</v>
          </cell>
          <cell r="G56">
            <v>0.9</v>
          </cell>
          <cell r="H56">
            <v>0.9</v>
          </cell>
          <cell r="I56">
            <v>0.9</v>
          </cell>
          <cell r="J56" t="str">
            <v>C5dB</v>
          </cell>
          <cell r="K56" t="str">
            <v>CRAVO NORTE</v>
          </cell>
          <cell r="L56" t="str">
            <v>CRAVO NORTE</v>
          </cell>
          <cell r="M56" t="str">
            <v>CRAVO NORTE</v>
          </cell>
        </row>
        <row r="57">
          <cell r="B57" t="str">
            <v>CL-04</v>
          </cell>
          <cell r="C57">
            <v>1198.28</v>
          </cell>
          <cell r="D57">
            <v>1198.28</v>
          </cell>
          <cell r="E57">
            <v>0</v>
          </cell>
          <cell r="F57">
            <v>234</v>
          </cell>
          <cell r="G57">
            <v>0.80500000000000005</v>
          </cell>
          <cell r="H57">
            <v>0.80500000000000005</v>
          </cell>
          <cell r="I57">
            <v>0</v>
          </cell>
          <cell r="J57" t="str">
            <v>C5c</v>
          </cell>
          <cell r="K57" t="str">
            <v>CRAVO NORTE</v>
          </cell>
          <cell r="L57" t="str">
            <v>CRAVO NORTE</v>
          </cell>
          <cell r="M57">
            <v>0</v>
          </cell>
        </row>
        <row r="58">
          <cell r="B58" t="str">
            <v>CL-06</v>
          </cell>
          <cell r="C58">
            <v>3070</v>
          </cell>
          <cell r="D58">
            <v>3131.05</v>
          </cell>
          <cell r="E58">
            <v>3070</v>
          </cell>
          <cell r="F58">
            <v>34</v>
          </cell>
          <cell r="G58">
            <v>0.9890000000000001</v>
          </cell>
          <cell r="H58">
            <v>0.9890000000000001</v>
          </cell>
          <cell r="I58">
            <v>0.9890000000000001</v>
          </cell>
          <cell r="J58" t="str">
            <v>C5dA-C5c</v>
          </cell>
          <cell r="K58" t="str">
            <v>CRAVO NORTE</v>
          </cell>
          <cell r="L58" t="str">
            <v>CRAVO NORTE</v>
          </cell>
          <cell r="M58" t="str">
            <v>CRAVO NORTE</v>
          </cell>
        </row>
        <row r="59">
          <cell r="B59" t="str">
            <v>CL-07</v>
          </cell>
          <cell r="C59">
            <v>2890.97</v>
          </cell>
          <cell r="D59">
            <v>2956.45</v>
          </cell>
          <cell r="E59">
            <v>2890.97</v>
          </cell>
          <cell r="F59">
            <v>202</v>
          </cell>
          <cell r="G59">
            <v>0.93</v>
          </cell>
          <cell r="H59">
            <v>0.92700000000000005</v>
          </cell>
          <cell r="I59">
            <v>0.93</v>
          </cell>
          <cell r="J59" t="str">
            <v>C5dA-C5c</v>
          </cell>
          <cell r="K59" t="str">
            <v>CRAVO NORTE</v>
          </cell>
          <cell r="L59" t="str">
            <v>CRAVO NORTE</v>
          </cell>
          <cell r="M59" t="str">
            <v>CRAVO NORTE</v>
          </cell>
        </row>
        <row r="60">
          <cell r="B60" t="str">
            <v>CL-08</v>
          </cell>
          <cell r="C60">
            <v>30021.46</v>
          </cell>
          <cell r="D60">
            <v>29400.14</v>
          </cell>
          <cell r="E60">
            <v>30021.46</v>
          </cell>
          <cell r="F60">
            <v>210</v>
          </cell>
          <cell r="G60">
            <v>0.99299999999999999</v>
          </cell>
          <cell r="H60">
            <v>0.9919</v>
          </cell>
          <cell r="I60">
            <v>0.99299999999999999</v>
          </cell>
          <cell r="J60" t="str">
            <v>M1A2-M1A1</v>
          </cell>
          <cell r="K60" t="str">
            <v>CRAVO NORTE</v>
          </cell>
          <cell r="L60" t="str">
            <v>CRAVO NORTE</v>
          </cell>
          <cell r="M60" t="str">
            <v>CRAVO NORTE</v>
          </cell>
        </row>
        <row r="61">
          <cell r="B61" t="str">
            <v>CL-09</v>
          </cell>
          <cell r="C61">
            <v>23966.07</v>
          </cell>
          <cell r="D61">
            <v>23966.07</v>
          </cell>
          <cell r="E61">
            <v>0</v>
          </cell>
          <cell r="F61">
            <v>86</v>
          </cell>
          <cell r="G61">
            <v>0.99639999999999995</v>
          </cell>
          <cell r="H61">
            <v>0.99639999999999995</v>
          </cell>
          <cell r="I61">
            <v>0</v>
          </cell>
          <cell r="J61" t="str">
            <v>M1A1</v>
          </cell>
          <cell r="K61" t="str">
            <v>CRAVO NORTE</v>
          </cell>
          <cell r="L61" t="str">
            <v>CRAVO NORTE</v>
          </cell>
          <cell r="M61">
            <v>0</v>
          </cell>
        </row>
        <row r="62">
          <cell r="B62" t="str">
            <v>CL-11</v>
          </cell>
          <cell r="C62">
            <v>872.47</v>
          </cell>
          <cell r="D62">
            <v>888.61</v>
          </cell>
          <cell r="E62">
            <v>872.47</v>
          </cell>
          <cell r="F62">
            <v>26</v>
          </cell>
          <cell r="G62">
            <v>0.97</v>
          </cell>
          <cell r="H62">
            <v>0.97</v>
          </cell>
          <cell r="I62">
            <v>0.97</v>
          </cell>
          <cell r="J62" t="str">
            <v>M2B</v>
          </cell>
          <cell r="K62" t="str">
            <v>CRAVO NORTE</v>
          </cell>
          <cell r="L62" t="str">
            <v>CRAVO NORTE</v>
          </cell>
          <cell r="M62" t="str">
            <v>CRAVO NORTE</v>
          </cell>
        </row>
        <row r="63">
          <cell r="B63" t="str">
            <v>CL-16</v>
          </cell>
          <cell r="C63">
            <v>24924.16</v>
          </cell>
          <cell r="D63">
            <v>25522.34</v>
          </cell>
          <cell r="E63">
            <v>24924.16</v>
          </cell>
          <cell r="F63">
            <v>57</v>
          </cell>
          <cell r="G63">
            <v>0.99769999999999992</v>
          </cell>
          <cell r="H63">
            <v>0.99750000000000005</v>
          </cell>
          <cell r="I63">
            <v>0.99769999999999992</v>
          </cell>
          <cell r="J63" t="str">
            <v>M1A2</v>
          </cell>
          <cell r="K63" t="str">
            <v>CRAVO NORTE</v>
          </cell>
          <cell r="L63" t="str">
            <v>CRAVO NORTE</v>
          </cell>
          <cell r="M63" t="str">
            <v>CRAVO NORTE</v>
          </cell>
        </row>
        <row r="64">
          <cell r="B64" t="str">
            <v>CL-18</v>
          </cell>
          <cell r="C64">
            <v>3500</v>
          </cell>
          <cell r="D64">
            <v>3500</v>
          </cell>
          <cell r="E64">
            <v>0</v>
          </cell>
          <cell r="F64">
            <v>3500</v>
          </cell>
          <cell r="G64">
            <v>0</v>
          </cell>
          <cell r="H64">
            <v>0</v>
          </cell>
          <cell r="I64">
            <v>0</v>
          </cell>
          <cell r="J64" t="str">
            <v>N/A</v>
          </cell>
          <cell r="K64" t="str">
            <v>CRAVO NORTE</v>
          </cell>
          <cell r="L64" t="str">
            <v>CRAVO NORTE</v>
          </cell>
          <cell r="M64">
            <v>0</v>
          </cell>
        </row>
        <row r="65">
          <cell r="B65" t="str">
            <v>CL-19</v>
          </cell>
          <cell r="C65">
            <v>490</v>
          </cell>
          <cell r="D65">
            <v>345</v>
          </cell>
          <cell r="E65">
            <v>490</v>
          </cell>
          <cell r="F65">
            <v>103</v>
          </cell>
          <cell r="G65">
            <v>0.79</v>
          </cell>
          <cell r="H65">
            <v>0.82</v>
          </cell>
          <cell r="I65">
            <v>0.79</v>
          </cell>
          <cell r="J65" t="str">
            <v>C5dA</v>
          </cell>
          <cell r="K65" t="str">
            <v>CRAVO NORTE</v>
          </cell>
          <cell r="L65" t="str">
            <v>CRAVO NORTE</v>
          </cell>
          <cell r="M65" t="str">
            <v>CRAVO NORTE</v>
          </cell>
        </row>
        <row r="66">
          <cell r="B66" t="str">
            <v>CL-20</v>
          </cell>
          <cell r="C66">
            <v>851.92</v>
          </cell>
          <cell r="D66">
            <v>855.56</v>
          </cell>
          <cell r="E66">
            <v>851.92</v>
          </cell>
          <cell r="F66">
            <v>187</v>
          </cell>
          <cell r="G66">
            <v>0.78</v>
          </cell>
          <cell r="H66">
            <v>0.78</v>
          </cell>
          <cell r="I66">
            <v>0.78</v>
          </cell>
          <cell r="J66" t="str">
            <v>C5a-C5c</v>
          </cell>
          <cell r="K66" t="str">
            <v>CRAVO NORTE</v>
          </cell>
          <cell r="L66" t="str">
            <v>CRAVO NORTE</v>
          </cell>
          <cell r="M66" t="str">
            <v>CRAVO NORTE</v>
          </cell>
        </row>
        <row r="67">
          <cell r="B67" t="str">
            <v>CL-21</v>
          </cell>
          <cell r="C67">
            <v>1947.98</v>
          </cell>
          <cell r="D67">
            <v>1865.34</v>
          </cell>
          <cell r="E67">
            <v>1947.98</v>
          </cell>
          <cell r="F67">
            <v>109</v>
          </cell>
          <cell r="G67">
            <v>0.94400000000000006</v>
          </cell>
          <cell r="H67">
            <v>0.94299999999999995</v>
          </cell>
          <cell r="I67">
            <v>0.94400000000000006</v>
          </cell>
          <cell r="J67" t="str">
            <v>C5c</v>
          </cell>
          <cell r="K67" t="str">
            <v>CRAVO NORTE</v>
          </cell>
          <cell r="L67" t="str">
            <v>CRAVO NORTE</v>
          </cell>
          <cell r="M67" t="str">
            <v>CRAVO NORTE</v>
          </cell>
        </row>
        <row r="68">
          <cell r="B68" t="str">
            <v>CL-23</v>
          </cell>
          <cell r="C68">
            <v>743.89</v>
          </cell>
          <cell r="D68">
            <v>734.73</v>
          </cell>
          <cell r="E68">
            <v>743.89</v>
          </cell>
          <cell r="F68">
            <v>80</v>
          </cell>
          <cell r="G68">
            <v>0.89300000000000002</v>
          </cell>
          <cell r="H68">
            <v>0.89</v>
          </cell>
          <cell r="I68">
            <v>0.89300000000000002</v>
          </cell>
          <cell r="J68" t="str">
            <v>C5a</v>
          </cell>
          <cell r="K68" t="str">
            <v>CRAVO NORTE</v>
          </cell>
          <cell r="L68" t="str">
            <v>CRAVO NORTE</v>
          </cell>
          <cell r="M68" t="str">
            <v>CRAVO NORTE</v>
          </cell>
        </row>
        <row r="69">
          <cell r="B69" t="str">
            <v>CL-24</v>
          </cell>
          <cell r="C69">
            <v>120</v>
          </cell>
          <cell r="D69">
            <v>150</v>
          </cell>
          <cell r="E69">
            <v>120</v>
          </cell>
          <cell r="F69">
            <v>37</v>
          </cell>
          <cell r="G69">
            <v>0.69499999999999995</v>
          </cell>
          <cell r="H69">
            <v>0.68500000000000005</v>
          </cell>
          <cell r="I69">
            <v>0.69499999999999995</v>
          </cell>
          <cell r="J69" t="str">
            <v>C5dA-C5c-C5dB</v>
          </cell>
          <cell r="K69" t="str">
            <v>CRAVO NORTE</v>
          </cell>
          <cell r="L69" t="str">
            <v>CRAVO NORTE</v>
          </cell>
          <cell r="M69" t="str">
            <v>CRAVO NORTE</v>
          </cell>
        </row>
        <row r="70">
          <cell r="B70" t="str">
            <v>CL-26</v>
          </cell>
          <cell r="C70">
            <v>9156.75</v>
          </cell>
          <cell r="D70">
            <v>9356.67</v>
          </cell>
          <cell r="E70">
            <v>9156.75</v>
          </cell>
          <cell r="F70">
            <v>34</v>
          </cell>
          <cell r="G70">
            <v>0.99629999999999996</v>
          </cell>
          <cell r="H70">
            <v>0.99629999999999996</v>
          </cell>
          <cell r="I70">
            <v>0.99629999999999996</v>
          </cell>
          <cell r="J70" t="str">
            <v>M1A1</v>
          </cell>
          <cell r="K70" t="str">
            <v>CRAVO NORTE</v>
          </cell>
          <cell r="L70" t="str">
            <v>CRAVO NORTE</v>
          </cell>
          <cell r="M70" t="str">
            <v>CRAVO NORTE</v>
          </cell>
        </row>
        <row r="71">
          <cell r="B71" t="str">
            <v>CL-28</v>
          </cell>
          <cell r="C71">
            <v>1396.89</v>
          </cell>
          <cell r="D71">
            <v>1446.68</v>
          </cell>
          <cell r="E71">
            <v>1396.89</v>
          </cell>
          <cell r="F71">
            <v>88</v>
          </cell>
          <cell r="G71">
            <v>0.93700000000000006</v>
          </cell>
          <cell r="H71">
            <v>0.93230000000000002</v>
          </cell>
          <cell r="I71">
            <v>0.93700000000000006</v>
          </cell>
          <cell r="J71" t="str">
            <v>C5b</v>
          </cell>
          <cell r="K71" t="str">
            <v>CRAVO NORTE</v>
          </cell>
          <cell r="L71" t="str">
            <v>CRAVO NORTE</v>
          </cell>
          <cell r="M71" t="str">
            <v>CRAVO NORTE</v>
          </cell>
        </row>
        <row r="72">
          <cell r="B72" t="str">
            <v>CL-29</v>
          </cell>
          <cell r="C72">
            <v>680.57</v>
          </cell>
          <cell r="D72">
            <v>680.57</v>
          </cell>
          <cell r="E72">
            <v>0</v>
          </cell>
          <cell r="F72">
            <v>4</v>
          </cell>
          <cell r="G72">
            <v>0.99399999999999999</v>
          </cell>
          <cell r="H72">
            <v>0.99399999999999999</v>
          </cell>
          <cell r="I72">
            <v>0</v>
          </cell>
          <cell r="J72" t="str">
            <v>C5c</v>
          </cell>
          <cell r="K72" t="str">
            <v>CRAVO NORTE</v>
          </cell>
          <cell r="L72" t="str">
            <v>CRAVO NORTE</v>
          </cell>
          <cell r="M72">
            <v>0</v>
          </cell>
        </row>
        <row r="73">
          <cell r="B73" t="str">
            <v>CL-30</v>
          </cell>
          <cell r="C73">
            <v>10282.36</v>
          </cell>
          <cell r="D73">
            <v>10282.36</v>
          </cell>
          <cell r="E73">
            <v>0</v>
          </cell>
          <cell r="F73">
            <v>100</v>
          </cell>
          <cell r="G73">
            <v>0.99029999999999996</v>
          </cell>
          <cell r="H73">
            <v>0.99029999999999996</v>
          </cell>
          <cell r="I73">
            <v>0</v>
          </cell>
          <cell r="J73" t="str">
            <v>M2A1</v>
          </cell>
          <cell r="K73" t="str">
            <v>CRAVO NORTE</v>
          </cell>
          <cell r="L73" t="str">
            <v>CRAVO NORTE</v>
          </cell>
          <cell r="M73">
            <v>0</v>
          </cell>
        </row>
        <row r="74">
          <cell r="B74" t="str">
            <v>CL-32</v>
          </cell>
          <cell r="C74">
            <v>3258.98</v>
          </cell>
          <cell r="D74">
            <v>3425.87</v>
          </cell>
          <cell r="E74">
            <v>3258.98</v>
          </cell>
          <cell r="F74">
            <v>17</v>
          </cell>
          <cell r="G74">
            <v>0.9948999999999999</v>
          </cell>
          <cell r="H74">
            <v>0.9948999999999999</v>
          </cell>
          <cell r="I74">
            <v>0.9948999999999999</v>
          </cell>
          <cell r="J74" t="str">
            <v>C5b-C5c</v>
          </cell>
          <cell r="K74" t="str">
            <v>CRAVO NORTE</v>
          </cell>
          <cell r="L74" t="str">
            <v>CRAVO NORTE</v>
          </cell>
          <cell r="M74" t="str">
            <v>CRAVO NORTE</v>
          </cell>
        </row>
        <row r="75">
          <cell r="B75" t="str">
            <v>CL-33</v>
          </cell>
          <cell r="C75">
            <v>70</v>
          </cell>
          <cell r="D75">
            <v>80</v>
          </cell>
          <cell r="E75">
            <v>70</v>
          </cell>
          <cell r="F75">
            <v>36</v>
          </cell>
          <cell r="G75">
            <v>0.48</v>
          </cell>
          <cell r="H75">
            <v>0.48</v>
          </cell>
          <cell r="I75">
            <v>0.48</v>
          </cell>
          <cell r="J75" t="str">
            <v>C5dB</v>
          </cell>
          <cell r="K75" t="str">
            <v>CRAVO NORTE</v>
          </cell>
          <cell r="L75" t="str">
            <v>CRAVO NORTE</v>
          </cell>
          <cell r="M75" t="str">
            <v>CRAVO NORTE</v>
          </cell>
        </row>
        <row r="76">
          <cell r="B76" t="str">
            <v>CL-34</v>
          </cell>
          <cell r="C76">
            <v>35</v>
          </cell>
          <cell r="D76">
            <v>6629.31</v>
          </cell>
          <cell r="E76">
            <v>35</v>
          </cell>
          <cell r="F76">
            <v>32</v>
          </cell>
          <cell r="G76">
            <v>0.1</v>
          </cell>
          <cell r="H76">
            <v>0.99029999999999996</v>
          </cell>
          <cell r="I76">
            <v>0.1</v>
          </cell>
          <cell r="J76" t="str">
            <v>M3C</v>
          </cell>
          <cell r="K76" t="str">
            <v>CRAVO NORTE</v>
          </cell>
          <cell r="L76" t="str">
            <v>CRAVO NORTE</v>
          </cell>
          <cell r="M76" t="str">
            <v>CRAVO NORTE</v>
          </cell>
        </row>
        <row r="77">
          <cell r="B77" t="str">
            <v>CL-35</v>
          </cell>
          <cell r="C77">
            <v>6488.81</v>
          </cell>
          <cell r="D77">
            <v>6042.28</v>
          </cell>
          <cell r="E77">
            <v>6488.81</v>
          </cell>
          <cell r="F77">
            <v>91</v>
          </cell>
          <cell r="G77">
            <v>0.98599999999999999</v>
          </cell>
          <cell r="H77">
            <v>0.98499999999999999</v>
          </cell>
          <cell r="I77">
            <v>0.98599999999999999</v>
          </cell>
          <cell r="J77" t="str">
            <v>M3C</v>
          </cell>
          <cell r="K77" t="str">
            <v>CRAVO NORTE</v>
          </cell>
          <cell r="L77" t="str">
            <v>CRAVO NORTE</v>
          </cell>
          <cell r="M77" t="str">
            <v>CRAVO NORTE</v>
          </cell>
        </row>
        <row r="78">
          <cell r="B78" t="str">
            <v>CL-36</v>
          </cell>
          <cell r="C78">
            <v>2499.86</v>
          </cell>
          <cell r="D78">
            <v>2145.83</v>
          </cell>
          <cell r="E78">
            <v>2499.86</v>
          </cell>
          <cell r="F78">
            <v>100</v>
          </cell>
          <cell r="G78">
            <v>0.96</v>
          </cell>
          <cell r="H78">
            <v>0.93500000000000005</v>
          </cell>
          <cell r="I78">
            <v>0.96</v>
          </cell>
          <cell r="J78" t="str">
            <v>C5dA</v>
          </cell>
          <cell r="K78" t="str">
            <v>CRAVO NORTE</v>
          </cell>
          <cell r="L78" t="str">
            <v>CRAVO NORTE</v>
          </cell>
          <cell r="M78" t="str">
            <v>CRAVO NORTE</v>
          </cell>
        </row>
        <row r="79">
          <cell r="B79" t="str">
            <v>CL-37</v>
          </cell>
          <cell r="C79">
            <v>50</v>
          </cell>
          <cell r="D79">
            <v>50</v>
          </cell>
          <cell r="E79">
            <v>0</v>
          </cell>
          <cell r="F79">
            <v>50</v>
          </cell>
          <cell r="G79">
            <v>0</v>
          </cell>
          <cell r="H79">
            <v>0</v>
          </cell>
          <cell r="I79">
            <v>0</v>
          </cell>
          <cell r="J79" t="str">
            <v>N/A</v>
          </cell>
          <cell r="K79" t="str">
            <v>CRAVO NORTE</v>
          </cell>
          <cell r="L79" t="str">
            <v>CRAVO NORTE</v>
          </cell>
          <cell r="M79">
            <v>0</v>
          </cell>
        </row>
        <row r="80">
          <cell r="B80" t="str">
            <v>CL-40</v>
          </cell>
          <cell r="C80">
            <v>4343.2299999999996</v>
          </cell>
          <cell r="D80">
            <v>4572.47</v>
          </cell>
          <cell r="E80">
            <v>4343.2299999999996</v>
          </cell>
          <cell r="F80">
            <v>98</v>
          </cell>
          <cell r="G80">
            <v>0.97739999999999994</v>
          </cell>
          <cell r="H80">
            <v>0.97739999999999994</v>
          </cell>
          <cell r="I80">
            <v>0.97739999999999994</v>
          </cell>
          <cell r="J80" t="str">
            <v>C5c</v>
          </cell>
          <cell r="K80" t="str">
            <v>CRAVO NORTE</v>
          </cell>
          <cell r="L80" t="str">
            <v>CRAVO NORTE</v>
          </cell>
          <cell r="M80" t="str">
            <v>CRAVO NORTE</v>
          </cell>
        </row>
        <row r="81">
          <cell r="B81" t="str">
            <v>CL-41</v>
          </cell>
          <cell r="C81">
            <v>3644.92</v>
          </cell>
          <cell r="D81">
            <v>3860.08</v>
          </cell>
          <cell r="E81">
            <v>3644.92</v>
          </cell>
          <cell r="F81">
            <v>31</v>
          </cell>
          <cell r="G81">
            <v>0.99150000000000005</v>
          </cell>
          <cell r="H81">
            <v>0.99150000000000005</v>
          </cell>
          <cell r="I81">
            <v>0.99150000000000005</v>
          </cell>
          <cell r="J81" t="str">
            <v>C5dA-C5c</v>
          </cell>
          <cell r="K81" t="str">
            <v>CRAVO NORTE</v>
          </cell>
          <cell r="L81" t="str">
            <v>CRAVO NORTE</v>
          </cell>
          <cell r="M81" t="str">
            <v>CRAVO NORTE</v>
          </cell>
        </row>
        <row r="82">
          <cell r="B82" t="str">
            <v>CL-42</v>
          </cell>
          <cell r="C82">
            <v>1320</v>
          </cell>
          <cell r="D82">
            <v>1330</v>
          </cell>
          <cell r="E82">
            <v>1320</v>
          </cell>
          <cell r="F82">
            <v>304</v>
          </cell>
          <cell r="G82">
            <v>0.77</v>
          </cell>
          <cell r="H82">
            <v>0.746</v>
          </cell>
          <cell r="I82">
            <v>0.77</v>
          </cell>
          <cell r="J82" t="str">
            <v>C5a</v>
          </cell>
          <cell r="K82" t="str">
            <v>CRAVO NORTE</v>
          </cell>
          <cell r="L82" t="str">
            <v>CRAVO NORTE</v>
          </cell>
          <cell r="M82" t="str">
            <v>CRAVO NORTE</v>
          </cell>
        </row>
        <row r="83">
          <cell r="B83" t="str">
            <v>CL-43</v>
          </cell>
          <cell r="C83">
            <v>270</v>
          </cell>
          <cell r="D83">
            <v>280</v>
          </cell>
          <cell r="E83">
            <v>270</v>
          </cell>
          <cell r="F83">
            <v>92</v>
          </cell>
          <cell r="G83">
            <v>0.66</v>
          </cell>
          <cell r="H83">
            <v>0.65</v>
          </cell>
          <cell r="I83">
            <v>0.66</v>
          </cell>
          <cell r="J83" t="str">
            <v>C5b</v>
          </cell>
          <cell r="K83" t="str">
            <v>CRAVO NORTE</v>
          </cell>
          <cell r="L83" t="str">
            <v>CRAVO NORTE</v>
          </cell>
          <cell r="M83" t="str">
            <v>CRAVO NORTE</v>
          </cell>
        </row>
        <row r="84">
          <cell r="B84" t="str">
            <v>CL-46</v>
          </cell>
          <cell r="C84">
            <v>6886.63</v>
          </cell>
          <cell r="D84">
            <v>6995.46</v>
          </cell>
          <cell r="E84">
            <v>6886.63</v>
          </cell>
          <cell r="F84">
            <v>17</v>
          </cell>
          <cell r="G84">
            <v>0.99750000000000005</v>
          </cell>
          <cell r="H84">
            <v>0.99750000000000005</v>
          </cell>
          <cell r="I84">
            <v>0.99750000000000005</v>
          </cell>
          <cell r="J84" t="str">
            <v>M1A1-C5dB</v>
          </cell>
          <cell r="K84" t="str">
            <v>CRAVO NORTE</v>
          </cell>
          <cell r="L84" t="str">
            <v>CRAVO NORTE</v>
          </cell>
          <cell r="M84" t="str">
            <v>CRAVO NORTE</v>
          </cell>
        </row>
        <row r="85">
          <cell r="B85" t="str">
            <v>CL-47</v>
          </cell>
          <cell r="C85">
            <v>1898.51</v>
          </cell>
          <cell r="D85">
            <v>1932.41</v>
          </cell>
          <cell r="E85">
            <v>1898.51</v>
          </cell>
          <cell r="F85">
            <v>57</v>
          </cell>
          <cell r="G85">
            <v>0.97</v>
          </cell>
          <cell r="H85">
            <v>0.97</v>
          </cell>
          <cell r="I85">
            <v>0.97</v>
          </cell>
          <cell r="J85" t="str">
            <v>C5b</v>
          </cell>
          <cell r="K85" t="str">
            <v>CRAVO NORTE</v>
          </cell>
          <cell r="L85" t="str">
            <v>CRAVO NORTE</v>
          </cell>
          <cell r="M85" t="str">
            <v>CRAVO NORTE</v>
          </cell>
        </row>
        <row r="86">
          <cell r="B86" t="str">
            <v>CL-48</v>
          </cell>
          <cell r="C86">
            <v>6011.3</v>
          </cell>
          <cell r="D86">
            <v>12050</v>
          </cell>
          <cell r="E86">
            <v>6011.3</v>
          </cell>
          <cell r="F86">
            <v>13</v>
          </cell>
          <cell r="G86">
            <v>0.99790000000000001</v>
          </cell>
          <cell r="H86">
            <v>0.99829999999999997</v>
          </cell>
          <cell r="I86">
            <v>0.99790000000000001</v>
          </cell>
          <cell r="J86" t="str">
            <v>N/A</v>
          </cell>
          <cell r="K86" t="str">
            <v>CRAVO NORTE</v>
          </cell>
          <cell r="L86" t="str">
            <v>CRAVO NORTE</v>
          </cell>
          <cell r="M86" t="str">
            <v>CRAVO NORTE</v>
          </cell>
        </row>
        <row r="87">
          <cell r="B87" t="str">
            <v>CL-49</v>
          </cell>
          <cell r="C87">
            <v>2714.73</v>
          </cell>
          <cell r="D87">
            <v>2787.75</v>
          </cell>
          <cell r="E87">
            <v>2714.73</v>
          </cell>
          <cell r="F87">
            <v>60</v>
          </cell>
          <cell r="G87">
            <v>0.97799999999999998</v>
          </cell>
          <cell r="H87">
            <v>0.97799999999999998</v>
          </cell>
          <cell r="I87">
            <v>0.97799999999999998</v>
          </cell>
          <cell r="J87" t="str">
            <v>C5c</v>
          </cell>
          <cell r="K87" t="str">
            <v>CRAVO NORTE</v>
          </cell>
          <cell r="L87" t="str">
            <v>CRAVO NORTE</v>
          </cell>
          <cell r="M87" t="str">
            <v>CRAVO NORTE</v>
          </cell>
        </row>
        <row r="88">
          <cell r="B88" t="str">
            <v>CL-51</v>
          </cell>
          <cell r="C88">
            <v>9635.16</v>
          </cell>
          <cell r="D88">
            <v>10215.39</v>
          </cell>
          <cell r="E88">
            <v>9635.16</v>
          </cell>
          <cell r="F88">
            <v>50</v>
          </cell>
          <cell r="G88">
            <v>0.99480000000000002</v>
          </cell>
          <cell r="H88">
            <v>0.99430000000000007</v>
          </cell>
          <cell r="I88">
            <v>0.99480000000000002</v>
          </cell>
          <cell r="J88" t="str">
            <v>M2A0-M2B-M3B</v>
          </cell>
          <cell r="K88" t="str">
            <v>CRAVO NORTE</v>
          </cell>
          <cell r="L88" t="str">
            <v>CRAVO NORTE</v>
          </cell>
          <cell r="M88" t="str">
            <v>CRAVO NORTE</v>
          </cell>
        </row>
        <row r="89">
          <cell r="B89" t="str">
            <v>CL-55</v>
          </cell>
          <cell r="C89">
            <v>518.05999999999995</v>
          </cell>
          <cell r="D89">
            <v>485</v>
          </cell>
          <cell r="E89">
            <v>518.05999999999995</v>
          </cell>
          <cell r="F89">
            <v>16</v>
          </cell>
          <cell r="G89">
            <v>0.96900000000000008</v>
          </cell>
          <cell r="H89">
            <v>0.9</v>
          </cell>
          <cell r="I89">
            <v>0.96900000000000008</v>
          </cell>
          <cell r="J89" t="str">
            <v>C5b-C5a-C5c</v>
          </cell>
          <cell r="K89" t="str">
            <v>CRAVO NORTE</v>
          </cell>
          <cell r="L89" t="str">
            <v>CRAVO NORTE</v>
          </cell>
          <cell r="M89" t="str">
            <v>CRAVO NORTE</v>
          </cell>
        </row>
        <row r="90">
          <cell r="B90" t="str">
            <v>CL-56</v>
          </cell>
          <cell r="C90">
            <v>15655.17</v>
          </cell>
          <cell r="D90">
            <v>18981.419999999998</v>
          </cell>
          <cell r="E90">
            <v>15655.17</v>
          </cell>
          <cell r="F90">
            <v>77</v>
          </cell>
          <cell r="G90">
            <v>0.9951000000000001</v>
          </cell>
          <cell r="H90">
            <v>0.995</v>
          </cell>
          <cell r="I90">
            <v>0.9951000000000001</v>
          </cell>
          <cell r="J90" t="str">
            <v>M4S</v>
          </cell>
          <cell r="K90" t="str">
            <v>CRAVO NORTE</v>
          </cell>
          <cell r="L90" t="str">
            <v>CRAVO NORTE</v>
          </cell>
          <cell r="M90" t="str">
            <v>CRAVO NORTE</v>
          </cell>
        </row>
        <row r="91">
          <cell r="B91" t="str">
            <v>CO A</v>
          </cell>
          <cell r="C91">
            <v>5411</v>
          </cell>
          <cell r="D91">
            <v>5399</v>
          </cell>
          <cell r="E91">
            <v>5411</v>
          </cell>
          <cell r="F91">
            <v>81</v>
          </cell>
          <cell r="G91">
            <v>0.98499999999999999</v>
          </cell>
          <cell r="H91">
            <v>0.98499999999999999</v>
          </cell>
          <cell r="I91">
            <v>0.98499999999999999</v>
          </cell>
          <cell r="J91" t="str">
            <v>N/A</v>
          </cell>
          <cell r="K91" t="str">
            <v>COSECHA</v>
          </cell>
          <cell r="L91" t="str">
            <v>COSECHA</v>
          </cell>
          <cell r="M91" t="str">
            <v>COSECHA</v>
          </cell>
        </row>
        <row r="92">
          <cell r="B92" t="str">
            <v>CO C-01</v>
          </cell>
          <cell r="C92">
            <v>2318</v>
          </cell>
          <cell r="D92">
            <v>2344</v>
          </cell>
          <cell r="E92">
            <v>2318</v>
          </cell>
          <cell r="F92">
            <v>35</v>
          </cell>
          <cell r="G92">
            <v>0.98499999999999999</v>
          </cell>
          <cell r="H92">
            <v>0.98499999999999999</v>
          </cell>
          <cell r="I92">
            <v>0.98499999999999999</v>
          </cell>
          <cell r="J92" t="str">
            <v>K2A</v>
          </cell>
          <cell r="K92" t="str">
            <v>COSECHA</v>
          </cell>
          <cell r="L92" t="str">
            <v>COSECHA</v>
          </cell>
          <cell r="M92" t="str">
            <v>COSECHA</v>
          </cell>
        </row>
        <row r="93">
          <cell r="B93" t="str">
            <v>CO C-03ST</v>
          </cell>
          <cell r="C93">
            <v>100</v>
          </cell>
          <cell r="D93">
            <v>100</v>
          </cell>
          <cell r="E93">
            <v>0</v>
          </cell>
          <cell r="F93">
            <v>60</v>
          </cell>
          <cell r="G93">
            <v>0.4</v>
          </cell>
          <cell r="H93">
            <v>0.4</v>
          </cell>
          <cell r="I93">
            <v>0</v>
          </cell>
          <cell r="J93" t="str">
            <v xml:space="preserve"> </v>
          </cell>
          <cell r="K93">
            <v>0</v>
          </cell>
          <cell r="L93">
            <v>0</v>
          </cell>
          <cell r="M93">
            <v>0</v>
          </cell>
        </row>
        <row r="94">
          <cell r="B94" t="str">
            <v>CO CW-01ST</v>
          </cell>
          <cell r="C94">
            <v>3073</v>
          </cell>
          <cell r="D94">
            <v>3150</v>
          </cell>
          <cell r="E94">
            <v>3073</v>
          </cell>
          <cell r="F94">
            <v>292</v>
          </cell>
          <cell r="G94">
            <v>0.90500000000000003</v>
          </cell>
          <cell r="H94">
            <v>0.89500000000000002</v>
          </cell>
          <cell r="I94">
            <v>0.90500000000000003</v>
          </cell>
          <cell r="J94" t="str">
            <v>K2A</v>
          </cell>
          <cell r="K94" t="str">
            <v>COSECHA</v>
          </cell>
          <cell r="L94" t="str">
            <v>COSECHA</v>
          </cell>
          <cell r="M94" t="str">
            <v>COSECHA</v>
          </cell>
        </row>
        <row r="95">
          <cell r="B95" t="str">
            <v>CO G</v>
          </cell>
          <cell r="C95">
            <v>4104</v>
          </cell>
          <cell r="D95">
            <v>4167</v>
          </cell>
          <cell r="E95">
            <v>4104</v>
          </cell>
          <cell r="F95">
            <v>205</v>
          </cell>
          <cell r="G95">
            <v>0.95</v>
          </cell>
          <cell r="H95">
            <v>0.94700000000000006</v>
          </cell>
          <cell r="I95">
            <v>0.95</v>
          </cell>
          <cell r="J95" t="str">
            <v>C5_Middle-C5_ower</v>
          </cell>
          <cell r="K95" t="str">
            <v>COSECHA</v>
          </cell>
          <cell r="L95" t="str">
            <v>COSECHA</v>
          </cell>
          <cell r="M95" t="str">
            <v>COSECHA</v>
          </cell>
        </row>
        <row r="96">
          <cell r="B96" t="str">
            <v>CO G-03</v>
          </cell>
          <cell r="C96">
            <v>11660</v>
          </cell>
          <cell r="D96">
            <v>11660</v>
          </cell>
          <cell r="E96">
            <v>0</v>
          </cell>
          <cell r="F96">
            <v>233</v>
          </cell>
          <cell r="G96">
            <v>0.98</v>
          </cell>
          <cell r="H96">
            <v>0.98</v>
          </cell>
          <cell r="I96">
            <v>0</v>
          </cell>
          <cell r="J96" t="str">
            <v>K3_Upper-K3_ower</v>
          </cell>
          <cell r="K96" t="str">
            <v>COSECHA</v>
          </cell>
          <cell r="L96" t="str">
            <v>COSECHA</v>
          </cell>
          <cell r="M96">
            <v>0</v>
          </cell>
        </row>
        <row r="97">
          <cell r="B97" t="str">
            <v>CO G-04</v>
          </cell>
          <cell r="C97">
            <v>5019</v>
          </cell>
          <cell r="D97">
            <v>5044</v>
          </cell>
          <cell r="E97">
            <v>5019</v>
          </cell>
          <cell r="F97">
            <v>176</v>
          </cell>
          <cell r="G97">
            <v>0.96499999999999997</v>
          </cell>
          <cell r="H97">
            <v>0.96499999999999997</v>
          </cell>
          <cell r="I97">
            <v>0.96499999999999997</v>
          </cell>
          <cell r="J97" t="str">
            <v>C5_Middle</v>
          </cell>
          <cell r="K97" t="str">
            <v>COSECHA</v>
          </cell>
          <cell r="L97" t="str">
            <v>COSECHA</v>
          </cell>
          <cell r="M97" t="str">
            <v>COSECHA</v>
          </cell>
        </row>
        <row r="98">
          <cell r="B98" t="str">
            <v>CO G-07</v>
          </cell>
          <cell r="C98">
            <v>2871</v>
          </cell>
          <cell r="D98">
            <v>2795</v>
          </cell>
          <cell r="E98">
            <v>2871</v>
          </cell>
          <cell r="F98">
            <v>144</v>
          </cell>
          <cell r="G98">
            <v>0.95</v>
          </cell>
          <cell r="H98">
            <v>0.92</v>
          </cell>
          <cell r="I98">
            <v>0.95</v>
          </cell>
          <cell r="J98" t="str">
            <v>K2A_Reservoir_Middle</v>
          </cell>
          <cell r="K98" t="str">
            <v>COSECHA</v>
          </cell>
          <cell r="L98" t="str">
            <v>COSECHA</v>
          </cell>
          <cell r="M98" t="str">
            <v>COSECHA</v>
          </cell>
        </row>
        <row r="99">
          <cell r="B99" t="str">
            <v>CO G-08</v>
          </cell>
          <cell r="C99">
            <v>1806</v>
          </cell>
          <cell r="D99">
            <v>1747</v>
          </cell>
          <cell r="E99">
            <v>1806</v>
          </cell>
          <cell r="F99">
            <v>190</v>
          </cell>
          <cell r="G99">
            <v>0.89500000000000002</v>
          </cell>
          <cell r="H99">
            <v>0.91</v>
          </cell>
          <cell r="I99">
            <v>0.89500000000000002</v>
          </cell>
          <cell r="J99" t="str">
            <v>M1A1</v>
          </cell>
          <cell r="K99" t="str">
            <v>COSECHA</v>
          </cell>
          <cell r="L99" t="str">
            <v>COSECHA</v>
          </cell>
          <cell r="M99" t="str">
            <v>COSECHA</v>
          </cell>
        </row>
        <row r="100">
          <cell r="B100" t="str">
            <v>CO G-10</v>
          </cell>
          <cell r="C100">
            <v>1550</v>
          </cell>
          <cell r="D100">
            <v>1543</v>
          </cell>
          <cell r="E100">
            <v>1550</v>
          </cell>
          <cell r="F100">
            <v>78</v>
          </cell>
          <cell r="G100">
            <v>0.95</v>
          </cell>
          <cell r="H100">
            <v>0.94</v>
          </cell>
          <cell r="I100">
            <v>0.95</v>
          </cell>
          <cell r="J100" t="str">
            <v>M1A1</v>
          </cell>
          <cell r="K100" t="str">
            <v>COSECHA</v>
          </cell>
          <cell r="L100" t="str">
            <v>COSECHA</v>
          </cell>
          <cell r="M100" t="str">
            <v>COSECHA</v>
          </cell>
        </row>
        <row r="101">
          <cell r="B101" t="str">
            <v>CO G-12</v>
          </cell>
          <cell r="C101">
            <v>2791</v>
          </cell>
          <cell r="D101">
            <v>2723</v>
          </cell>
          <cell r="E101">
            <v>2791</v>
          </cell>
          <cell r="F101">
            <v>84</v>
          </cell>
          <cell r="G101">
            <v>0.97</v>
          </cell>
          <cell r="H101">
            <v>0.97</v>
          </cell>
          <cell r="I101">
            <v>0.97</v>
          </cell>
          <cell r="J101" t="str">
            <v xml:space="preserve"> </v>
          </cell>
          <cell r="K101" t="str">
            <v>COSECHA</v>
          </cell>
          <cell r="L101" t="str">
            <v>COSECHA</v>
          </cell>
          <cell r="M101" t="str">
            <v>COSECHA</v>
          </cell>
        </row>
        <row r="102">
          <cell r="B102" t="str">
            <v>CO GN-01</v>
          </cell>
          <cell r="C102">
            <v>1330</v>
          </cell>
          <cell r="D102">
            <v>1010</v>
          </cell>
          <cell r="E102">
            <v>1330</v>
          </cell>
          <cell r="F102">
            <v>226</v>
          </cell>
          <cell r="G102">
            <v>0.83</v>
          </cell>
          <cell r="H102">
            <v>0.74</v>
          </cell>
          <cell r="I102">
            <v>0.83</v>
          </cell>
          <cell r="J102" t="str">
            <v xml:space="preserve"> </v>
          </cell>
          <cell r="K102" t="str">
            <v>COSECHA</v>
          </cell>
          <cell r="L102" t="str">
            <v>COSECHA</v>
          </cell>
          <cell r="M102" t="str">
            <v>COSECHA</v>
          </cell>
        </row>
        <row r="103">
          <cell r="B103" t="str">
            <v>CO V-01</v>
          </cell>
          <cell r="C103">
            <v>2050</v>
          </cell>
          <cell r="D103">
            <v>2050</v>
          </cell>
          <cell r="E103">
            <v>0</v>
          </cell>
          <cell r="F103">
            <v>21</v>
          </cell>
          <cell r="G103">
            <v>0.99</v>
          </cell>
          <cell r="H103">
            <v>0.99</v>
          </cell>
          <cell r="I103">
            <v>0</v>
          </cell>
          <cell r="J103" t="str">
            <v>N/A</v>
          </cell>
          <cell r="K103" t="str">
            <v>COSECHA</v>
          </cell>
          <cell r="L103" t="str">
            <v>COSECHA</v>
          </cell>
          <cell r="M103">
            <v>0</v>
          </cell>
        </row>
        <row r="104">
          <cell r="B104" t="str">
            <v>CO Y</v>
          </cell>
          <cell r="C104">
            <v>1495</v>
          </cell>
          <cell r="D104">
            <v>1556</v>
          </cell>
          <cell r="E104">
            <v>1495</v>
          </cell>
          <cell r="F104">
            <v>25</v>
          </cell>
          <cell r="G104">
            <v>0.98299999999999998</v>
          </cell>
          <cell r="H104">
            <v>0.98299999999999998</v>
          </cell>
          <cell r="I104">
            <v>0.98299999999999998</v>
          </cell>
          <cell r="J104" t="str">
            <v>M1A2</v>
          </cell>
          <cell r="K104" t="str">
            <v>COSECHA</v>
          </cell>
          <cell r="L104" t="str">
            <v>COSECHA</v>
          </cell>
          <cell r="M104" t="str">
            <v>COSECHA</v>
          </cell>
        </row>
        <row r="105">
          <cell r="B105" t="str">
            <v>CO Y-03</v>
          </cell>
          <cell r="C105">
            <v>6820</v>
          </cell>
          <cell r="D105">
            <v>7053</v>
          </cell>
          <cell r="E105">
            <v>6820</v>
          </cell>
          <cell r="F105">
            <v>116</v>
          </cell>
          <cell r="G105">
            <v>0.98299999999999998</v>
          </cell>
          <cell r="H105">
            <v>0.98299999999999998</v>
          </cell>
          <cell r="I105">
            <v>0.98299999999999998</v>
          </cell>
          <cell r="J105" t="str">
            <v>C5_Upper</v>
          </cell>
          <cell r="K105" t="str">
            <v>COSECHA</v>
          </cell>
          <cell r="L105" t="str">
            <v>COSECHA</v>
          </cell>
          <cell r="M105" t="str">
            <v>COSECHA</v>
          </cell>
        </row>
        <row r="106">
          <cell r="B106" t="str">
            <v>CO Y-04</v>
          </cell>
          <cell r="C106">
            <v>7884</v>
          </cell>
          <cell r="D106">
            <v>7949</v>
          </cell>
          <cell r="E106">
            <v>7884</v>
          </cell>
          <cell r="F106">
            <v>315</v>
          </cell>
          <cell r="G106">
            <v>0.96</v>
          </cell>
          <cell r="H106">
            <v>0.96</v>
          </cell>
          <cell r="I106">
            <v>0.96</v>
          </cell>
          <cell r="J106" t="str">
            <v>C5_Middle</v>
          </cell>
          <cell r="K106" t="str">
            <v>COSECHA</v>
          </cell>
          <cell r="L106" t="str">
            <v>COSECHA</v>
          </cell>
          <cell r="M106" t="str">
            <v>COSECHA</v>
          </cell>
        </row>
        <row r="107">
          <cell r="B107" t="str">
            <v>CO Y-05</v>
          </cell>
          <cell r="C107">
            <v>1918</v>
          </cell>
          <cell r="D107">
            <v>1918</v>
          </cell>
          <cell r="E107">
            <v>0</v>
          </cell>
          <cell r="F107">
            <v>86</v>
          </cell>
          <cell r="G107">
            <v>0.95499999999999996</v>
          </cell>
          <cell r="H107">
            <v>0.95499999999999996</v>
          </cell>
          <cell r="I107">
            <v>0</v>
          </cell>
          <cell r="J107" t="str">
            <v>C5_ower</v>
          </cell>
          <cell r="K107" t="str">
            <v>COSECHA</v>
          </cell>
          <cell r="L107" t="str">
            <v>COSECHA</v>
          </cell>
          <cell r="M107">
            <v>0</v>
          </cell>
        </row>
        <row r="108">
          <cell r="B108" t="str">
            <v>CO Y-09ST</v>
          </cell>
          <cell r="C108">
            <v>941</v>
          </cell>
          <cell r="D108">
            <v>938</v>
          </cell>
          <cell r="E108">
            <v>941</v>
          </cell>
          <cell r="F108">
            <v>85</v>
          </cell>
          <cell r="G108">
            <v>0.91</v>
          </cell>
          <cell r="H108">
            <v>0.92500000000000004</v>
          </cell>
          <cell r="I108">
            <v>0.91</v>
          </cell>
          <cell r="J108" t="str">
            <v>C5_Middle</v>
          </cell>
          <cell r="K108" t="str">
            <v>COSECHA</v>
          </cell>
          <cell r="L108" t="str">
            <v>COSECHA</v>
          </cell>
          <cell r="M108" t="str">
            <v>COSECHA</v>
          </cell>
        </row>
        <row r="109">
          <cell r="B109" t="str">
            <v>CO Y-11</v>
          </cell>
          <cell r="C109">
            <v>4712</v>
          </cell>
          <cell r="D109">
            <v>4674</v>
          </cell>
          <cell r="E109">
            <v>4712</v>
          </cell>
          <cell r="F109">
            <v>71</v>
          </cell>
          <cell r="G109">
            <v>0.98499999999999999</v>
          </cell>
          <cell r="H109">
            <v>0.98499999999999999</v>
          </cell>
          <cell r="I109">
            <v>0.98499999999999999</v>
          </cell>
          <cell r="J109" t="str">
            <v>M1A1</v>
          </cell>
          <cell r="K109" t="str">
            <v>COSECHA</v>
          </cell>
          <cell r="L109" t="str">
            <v>COSECHA</v>
          </cell>
          <cell r="M109" t="str">
            <v>COSECHA</v>
          </cell>
        </row>
        <row r="110">
          <cell r="B110" t="str">
            <v>CO Y-12</v>
          </cell>
          <cell r="C110">
            <v>7457</v>
          </cell>
          <cell r="D110">
            <v>7457</v>
          </cell>
          <cell r="E110">
            <v>0</v>
          </cell>
          <cell r="F110">
            <v>112</v>
          </cell>
          <cell r="G110">
            <v>0.98499999999999999</v>
          </cell>
          <cell r="H110">
            <v>0.98499999999999999</v>
          </cell>
          <cell r="I110">
            <v>0</v>
          </cell>
          <cell r="J110" t="str">
            <v>M1A2</v>
          </cell>
          <cell r="K110" t="str">
            <v>COSECHA</v>
          </cell>
          <cell r="L110" t="str">
            <v>COSECHA</v>
          </cell>
          <cell r="M110">
            <v>0</v>
          </cell>
        </row>
        <row r="111">
          <cell r="B111" t="str">
            <v>CR E-01</v>
          </cell>
          <cell r="C111">
            <v>813</v>
          </cell>
          <cell r="D111">
            <v>800</v>
          </cell>
          <cell r="E111">
            <v>813</v>
          </cell>
          <cell r="F111">
            <v>24</v>
          </cell>
          <cell r="G111">
            <v>0.97</v>
          </cell>
          <cell r="H111">
            <v>0.97</v>
          </cell>
          <cell r="I111">
            <v>0.97</v>
          </cell>
          <cell r="J111" t="str">
            <v>M2A</v>
          </cell>
          <cell r="K111" t="str">
            <v>RONDON</v>
          </cell>
          <cell r="L111" t="str">
            <v>RONDON</v>
          </cell>
          <cell r="M111" t="str">
            <v>RONDON</v>
          </cell>
        </row>
        <row r="112">
          <cell r="B112" t="str">
            <v>CR E-02</v>
          </cell>
          <cell r="C112">
            <v>2034</v>
          </cell>
          <cell r="D112">
            <v>2087</v>
          </cell>
          <cell r="E112">
            <v>2034</v>
          </cell>
          <cell r="F112">
            <v>81</v>
          </cell>
          <cell r="G112">
            <v>0.96</v>
          </cell>
          <cell r="H112">
            <v>0.96</v>
          </cell>
          <cell r="I112">
            <v>0.96</v>
          </cell>
          <cell r="J112" t="str">
            <v>N/A</v>
          </cell>
          <cell r="K112" t="str">
            <v>RONDON</v>
          </cell>
          <cell r="L112" t="str">
            <v>RONDON</v>
          </cell>
          <cell r="M112" t="str">
            <v>RONDON</v>
          </cell>
        </row>
        <row r="113">
          <cell r="B113" t="str">
            <v>CR E-03</v>
          </cell>
          <cell r="C113">
            <v>45</v>
          </cell>
          <cell r="D113">
            <v>45</v>
          </cell>
          <cell r="E113">
            <v>0</v>
          </cell>
          <cell r="F113">
            <v>32</v>
          </cell>
          <cell r="G113">
            <v>0.3</v>
          </cell>
          <cell r="H113">
            <v>0.3</v>
          </cell>
          <cell r="I113">
            <v>0</v>
          </cell>
          <cell r="J113" t="str">
            <v>K2A_Reservoir_Middle</v>
          </cell>
          <cell r="K113" t="str">
            <v>RONDON</v>
          </cell>
          <cell r="L113" t="str">
            <v>RONDON</v>
          </cell>
          <cell r="M113">
            <v>0</v>
          </cell>
        </row>
        <row r="114">
          <cell r="B114" t="str">
            <v>CR E-04</v>
          </cell>
          <cell r="C114">
            <v>3271</v>
          </cell>
          <cell r="D114">
            <v>3275</v>
          </cell>
          <cell r="E114">
            <v>3271</v>
          </cell>
          <cell r="F114">
            <v>114</v>
          </cell>
          <cell r="G114">
            <v>0.96499999999999997</v>
          </cell>
          <cell r="H114">
            <v>0.96499999999999997</v>
          </cell>
          <cell r="I114">
            <v>0.96499999999999997</v>
          </cell>
          <cell r="J114" t="str">
            <v>K2C</v>
          </cell>
          <cell r="K114" t="str">
            <v>RONDON</v>
          </cell>
          <cell r="L114" t="str">
            <v>RONDON</v>
          </cell>
          <cell r="M114" t="str">
            <v>RONDON</v>
          </cell>
        </row>
        <row r="115">
          <cell r="B115" t="str">
            <v>CR-06</v>
          </cell>
          <cell r="C115">
            <v>6801</v>
          </cell>
          <cell r="D115">
            <v>6782</v>
          </cell>
          <cell r="E115">
            <v>6801</v>
          </cell>
          <cell r="F115">
            <v>102</v>
          </cell>
          <cell r="G115">
            <v>0.98499999999999999</v>
          </cell>
          <cell r="H115">
            <v>0.98499999999999999</v>
          </cell>
          <cell r="I115">
            <v>0.98499999999999999</v>
          </cell>
          <cell r="J115" t="str">
            <v>K3-K3_Upper</v>
          </cell>
          <cell r="K115" t="str">
            <v>RONDON</v>
          </cell>
          <cell r="L115" t="str">
            <v>RONDON</v>
          </cell>
          <cell r="M115" t="str">
            <v>RONDON</v>
          </cell>
        </row>
        <row r="116">
          <cell r="B116" t="str">
            <v>CR-09</v>
          </cell>
          <cell r="C116">
            <v>4890</v>
          </cell>
          <cell r="D116">
            <v>4797</v>
          </cell>
          <cell r="E116">
            <v>4890</v>
          </cell>
          <cell r="F116">
            <v>73</v>
          </cell>
          <cell r="G116">
            <v>0.98499999999999999</v>
          </cell>
          <cell r="H116">
            <v>0.98499999999999999</v>
          </cell>
          <cell r="I116">
            <v>0.98499999999999999</v>
          </cell>
          <cell r="J116" t="str">
            <v>K2A_Reservoir_Middle</v>
          </cell>
          <cell r="K116" t="str">
            <v>RONDON</v>
          </cell>
          <cell r="L116" t="str">
            <v>RONDON</v>
          </cell>
          <cell r="M116" t="str">
            <v>RONDON</v>
          </cell>
        </row>
        <row r="117">
          <cell r="B117" t="str">
            <v>CR-10</v>
          </cell>
          <cell r="C117">
            <v>1550</v>
          </cell>
          <cell r="D117">
            <v>1550</v>
          </cell>
          <cell r="E117">
            <v>0</v>
          </cell>
          <cell r="F117">
            <v>31</v>
          </cell>
          <cell r="G117">
            <v>0.98</v>
          </cell>
          <cell r="H117">
            <v>0.98</v>
          </cell>
          <cell r="I117">
            <v>0</v>
          </cell>
          <cell r="J117" t="str">
            <v>K2A_Reservoir_Middle</v>
          </cell>
          <cell r="K117" t="str">
            <v>RONDON</v>
          </cell>
          <cell r="L117" t="str">
            <v>RONDON</v>
          </cell>
          <cell r="M117">
            <v>0</v>
          </cell>
        </row>
        <row r="118">
          <cell r="B118" t="str">
            <v>CR-11</v>
          </cell>
          <cell r="C118">
            <v>2160</v>
          </cell>
          <cell r="D118">
            <v>2083</v>
          </cell>
          <cell r="E118">
            <v>2160</v>
          </cell>
          <cell r="F118">
            <v>65</v>
          </cell>
          <cell r="G118">
            <v>0.97</v>
          </cell>
          <cell r="H118">
            <v>0.97</v>
          </cell>
          <cell r="I118">
            <v>0.97</v>
          </cell>
          <cell r="J118" t="str">
            <v>K2A_Reservoir_Middle</v>
          </cell>
          <cell r="K118" t="str">
            <v>RONDON</v>
          </cell>
          <cell r="L118" t="str">
            <v>RONDON</v>
          </cell>
          <cell r="M118" t="str">
            <v>RONDON</v>
          </cell>
        </row>
        <row r="119">
          <cell r="B119" t="str">
            <v>CR-12</v>
          </cell>
          <cell r="C119">
            <v>220</v>
          </cell>
          <cell r="D119">
            <v>220</v>
          </cell>
          <cell r="E119">
            <v>0</v>
          </cell>
          <cell r="F119">
            <v>11</v>
          </cell>
          <cell r="G119">
            <v>0.95</v>
          </cell>
          <cell r="H119">
            <v>0.95</v>
          </cell>
          <cell r="I119">
            <v>0</v>
          </cell>
          <cell r="J119" t="str">
            <v>K2C</v>
          </cell>
          <cell r="K119" t="str">
            <v>RONDON</v>
          </cell>
          <cell r="L119" t="str">
            <v>RONDON</v>
          </cell>
          <cell r="M119">
            <v>0</v>
          </cell>
        </row>
        <row r="120">
          <cell r="B120" t="str">
            <v>CR-14</v>
          </cell>
          <cell r="C120">
            <v>1136</v>
          </cell>
          <cell r="D120">
            <v>1148</v>
          </cell>
          <cell r="E120">
            <v>1136</v>
          </cell>
          <cell r="F120">
            <v>40</v>
          </cell>
          <cell r="G120">
            <v>0.96499999999999997</v>
          </cell>
          <cell r="H120">
            <v>0.95</v>
          </cell>
          <cell r="I120">
            <v>0.96499999999999997</v>
          </cell>
          <cell r="J120" t="str">
            <v>N/A</v>
          </cell>
          <cell r="K120" t="str">
            <v>RONDON</v>
          </cell>
          <cell r="L120" t="str">
            <v>RONDON</v>
          </cell>
          <cell r="M120" t="str">
            <v>RONDON</v>
          </cell>
        </row>
        <row r="121">
          <cell r="B121" t="str">
            <v>CR-15</v>
          </cell>
          <cell r="C121">
            <v>4299</v>
          </cell>
          <cell r="D121">
            <v>4299</v>
          </cell>
          <cell r="E121">
            <v>0</v>
          </cell>
          <cell r="F121">
            <v>150</v>
          </cell>
          <cell r="G121">
            <v>0.96499999999999997</v>
          </cell>
          <cell r="H121">
            <v>0.96499999999999997</v>
          </cell>
          <cell r="I121">
            <v>0</v>
          </cell>
          <cell r="J121" t="str">
            <v>K2A_Reservoir_ower</v>
          </cell>
          <cell r="K121" t="str">
            <v>RONDON</v>
          </cell>
          <cell r="L121" t="str">
            <v>RONDON</v>
          </cell>
          <cell r="M121">
            <v>0</v>
          </cell>
        </row>
        <row r="122">
          <cell r="B122" t="str">
            <v>CR-17</v>
          </cell>
          <cell r="C122">
            <v>2885</v>
          </cell>
          <cell r="D122">
            <v>2758</v>
          </cell>
          <cell r="E122">
            <v>2885</v>
          </cell>
          <cell r="F122">
            <v>72</v>
          </cell>
          <cell r="G122">
            <v>0.97499999999999998</v>
          </cell>
          <cell r="H122">
            <v>0.98</v>
          </cell>
          <cell r="I122">
            <v>0.97499999999999998</v>
          </cell>
          <cell r="J122" t="str">
            <v>K2A_Reservoir_Middle</v>
          </cell>
          <cell r="K122" t="str">
            <v>RONDON</v>
          </cell>
          <cell r="L122" t="str">
            <v>RONDON</v>
          </cell>
          <cell r="M122" t="str">
            <v>RONDON</v>
          </cell>
        </row>
        <row r="123">
          <cell r="B123" t="str">
            <v>CR-18</v>
          </cell>
          <cell r="C123">
            <v>2903</v>
          </cell>
          <cell r="D123">
            <v>2821</v>
          </cell>
          <cell r="E123">
            <v>2903</v>
          </cell>
          <cell r="F123">
            <v>290</v>
          </cell>
          <cell r="G123">
            <v>0.9</v>
          </cell>
          <cell r="H123">
            <v>0.89</v>
          </cell>
          <cell r="I123">
            <v>0.9</v>
          </cell>
          <cell r="J123" t="str">
            <v>K2A_Reservoir_Middle</v>
          </cell>
          <cell r="K123" t="str">
            <v>RONDON</v>
          </cell>
          <cell r="L123" t="str">
            <v>RONDON</v>
          </cell>
          <cell r="M123" t="str">
            <v>RONDON</v>
          </cell>
        </row>
        <row r="124">
          <cell r="B124" t="str">
            <v>CR-19</v>
          </cell>
          <cell r="C124">
            <v>6280</v>
          </cell>
          <cell r="D124">
            <v>6280</v>
          </cell>
          <cell r="E124">
            <v>0</v>
          </cell>
          <cell r="F124">
            <v>345</v>
          </cell>
          <cell r="G124">
            <v>0.94499999999999995</v>
          </cell>
          <cell r="H124">
            <v>0.94499999999999995</v>
          </cell>
          <cell r="I124">
            <v>0</v>
          </cell>
          <cell r="J124" t="str">
            <v>K2A_Reservoir_Middle</v>
          </cell>
          <cell r="K124" t="str">
            <v>RONDON</v>
          </cell>
          <cell r="L124" t="str">
            <v>RONDON</v>
          </cell>
          <cell r="M124">
            <v>0</v>
          </cell>
        </row>
        <row r="125">
          <cell r="B125" t="str">
            <v>CR-20</v>
          </cell>
          <cell r="C125">
            <v>2156</v>
          </cell>
          <cell r="D125">
            <v>2156</v>
          </cell>
          <cell r="E125">
            <v>0</v>
          </cell>
          <cell r="F125">
            <v>54</v>
          </cell>
          <cell r="G125">
            <v>0.97499999999999998</v>
          </cell>
          <cell r="H125">
            <v>0.97499999999999998</v>
          </cell>
          <cell r="I125">
            <v>0</v>
          </cell>
          <cell r="J125" t="str">
            <v>M1A1</v>
          </cell>
          <cell r="K125" t="str">
            <v>RONDON</v>
          </cell>
          <cell r="L125" t="str">
            <v>RONDON</v>
          </cell>
          <cell r="M125">
            <v>0</v>
          </cell>
        </row>
        <row r="126">
          <cell r="B126" t="str">
            <v>CR-21</v>
          </cell>
          <cell r="C126">
            <v>103</v>
          </cell>
          <cell r="D126">
            <v>103</v>
          </cell>
          <cell r="E126">
            <v>0</v>
          </cell>
          <cell r="F126">
            <v>99</v>
          </cell>
          <cell r="G126">
            <v>3.5000000000000003E-2</v>
          </cell>
          <cell r="H126">
            <v>3.5000000000000003E-2</v>
          </cell>
          <cell r="I126">
            <v>0</v>
          </cell>
          <cell r="J126" t="str">
            <v>M1A1</v>
          </cell>
          <cell r="K126" t="str">
            <v>RONDON</v>
          </cell>
          <cell r="L126" t="str">
            <v>RONDON</v>
          </cell>
          <cell r="M126">
            <v>0</v>
          </cell>
        </row>
        <row r="127">
          <cell r="B127" t="str">
            <v>CR-22</v>
          </cell>
          <cell r="C127">
            <v>8000</v>
          </cell>
          <cell r="D127">
            <v>5050</v>
          </cell>
          <cell r="E127">
            <v>8000</v>
          </cell>
          <cell r="F127">
            <v>160</v>
          </cell>
          <cell r="G127">
            <v>0.98</v>
          </cell>
          <cell r="H127">
            <v>0.96499999999999997</v>
          </cell>
          <cell r="I127">
            <v>0.98</v>
          </cell>
          <cell r="J127" t="str">
            <v>K3_Upper</v>
          </cell>
          <cell r="K127" t="str">
            <v>RONDON</v>
          </cell>
          <cell r="L127" t="str">
            <v>RONDON</v>
          </cell>
          <cell r="M127" t="str">
            <v>RONDON</v>
          </cell>
        </row>
        <row r="128">
          <cell r="B128" t="str">
            <v>CR-23</v>
          </cell>
          <cell r="C128">
            <v>2154</v>
          </cell>
          <cell r="D128">
            <v>2145</v>
          </cell>
          <cell r="E128">
            <v>2154</v>
          </cell>
          <cell r="F128">
            <v>32</v>
          </cell>
          <cell r="G128">
            <v>0.98499999999999999</v>
          </cell>
          <cell r="H128">
            <v>0.98499999999999999</v>
          </cell>
          <cell r="I128">
            <v>0.98499999999999999</v>
          </cell>
          <cell r="J128" t="str">
            <v>M2A</v>
          </cell>
          <cell r="K128" t="str">
            <v>RONDON</v>
          </cell>
          <cell r="L128" t="str">
            <v>RONDON</v>
          </cell>
          <cell r="M128" t="str">
            <v>RONDON</v>
          </cell>
        </row>
        <row r="129">
          <cell r="B129" t="str">
            <v>CV E-01</v>
          </cell>
          <cell r="C129">
            <v>130</v>
          </cell>
          <cell r="D129">
            <v>125</v>
          </cell>
          <cell r="E129">
            <v>130</v>
          </cell>
          <cell r="F129">
            <v>91</v>
          </cell>
          <cell r="G129">
            <v>0.3</v>
          </cell>
          <cell r="H129">
            <v>0.3</v>
          </cell>
          <cell r="I129">
            <v>0.3</v>
          </cell>
          <cell r="J129" t="str">
            <v>C5b</v>
          </cell>
          <cell r="K129" t="str">
            <v>CRAVO NORTE</v>
          </cell>
          <cell r="L129" t="str">
            <v>CRAVO NORTE</v>
          </cell>
          <cell r="M129" t="str">
            <v>CRAVO NORTE</v>
          </cell>
        </row>
        <row r="130">
          <cell r="B130" t="str">
            <v>CV E-02</v>
          </cell>
          <cell r="C130">
            <v>800.88</v>
          </cell>
          <cell r="D130">
            <v>827.77</v>
          </cell>
          <cell r="E130">
            <v>800.88</v>
          </cell>
          <cell r="F130">
            <v>19</v>
          </cell>
          <cell r="G130">
            <v>0.97599999999999998</v>
          </cell>
          <cell r="H130">
            <v>0.97299999999999998</v>
          </cell>
          <cell r="I130">
            <v>0.97599999999999998</v>
          </cell>
          <cell r="J130" t="str">
            <v>N/A</v>
          </cell>
          <cell r="K130" t="str">
            <v>CRAVO NORTE</v>
          </cell>
          <cell r="L130" t="str">
            <v>CRAVO NORTE</v>
          </cell>
          <cell r="M130" t="str">
            <v>CRAVO NORTE</v>
          </cell>
        </row>
        <row r="131">
          <cell r="B131" t="str">
            <v>CV E-03</v>
          </cell>
          <cell r="C131">
            <v>223.6</v>
          </cell>
          <cell r="D131">
            <v>269.57</v>
          </cell>
          <cell r="E131">
            <v>223.6</v>
          </cell>
          <cell r="F131">
            <v>58</v>
          </cell>
          <cell r="G131">
            <v>0.74</v>
          </cell>
          <cell r="H131">
            <v>0.72</v>
          </cell>
          <cell r="I131">
            <v>0.74</v>
          </cell>
          <cell r="J131" t="str">
            <v>M2A</v>
          </cell>
          <cell r="K131" t="str">
            <v>CRAVO NORTE</v>
          </cell>
          <cell r="L131" t="str">
            <v>CRAVO NORTE</v>
          </cell>
          <cell r="M131" t="str">
            <v>CRAVO NORTE</v>
          </cell>
        </row>
        <row r="132">
          <cell r="B132" t="str">
            <v>CV E-05</v>
          </cell>
          <cell r="C132">
            <v>15308.16</v>
          </cell>
          <cell r="D132">
            <v>15465.23</v>
          </cell>
          <cell r="E132">
            <v>15308.16</v>
          </cell>
          <cell r="F132">
            <v>73</v>
          </cell>
          <cell r="G132">
            <v>0.99519999999999997</v>
          </cell>
          <cell r="H132">
            <v>0.99519999999999997</v>
          </cell>
          <cell r="I132">
            <v>0.99519999999999997</v>
          </cell>
          <cell r="J132" t="str">
            <v>M1C1</v>
          </cell>
          <cell r="K132" t="str">
            <v>CRAVO NORTE</v>
          </cell>
          <cell r="L132" t="str">
            <v>CRAVO NORTE</v>
          </cell>
          <cell r="M132" t="str">
            <v>CRAVO NORTE</v>
          </cell>
        </row>
        <row r="133">
          <cell r="B133" t="str">
            <v>CV E-06</v>
          </cell>
          <cell r="C133">
            <v>7862.46</v>
          </cell>
          <cell r="D133">
            <v>8006.94</v>
          </cell>
          <cell r="E133">
            <v>7862.46</v>
          </cell>
          <cell r="F133">
            <v>18</v>
          </cell>
          <cell r="G133">
            <v>0.99769999999999992</v>
          </cell>
          <cell r="H133">
            <v>0.99780000000000002</v>
          </cell>
          <cell r="I133">
            <v>0.99769999999999992</v>
          </cell>
          <cell r="J133" t="str">
            <v>M1B-M2A1</v>
          </cell>
          <cell r="K133" t="str">
            <v>CRAVO NORTE</v>
          </cell>
          <cell r="L133" t="str">
            <v>CRAVO NORTE</v>
          </cell>
          <cell r="M133" t="str">
            <v>CRAVO NORTE</v>
          </cell>
        </row>
        <row r="134">
          <cell r="B134" t="str">
            <v>CV-02</v>
          </cell>
          <cell r="C134">
            <v>28665.49</v>
          </cell>
          <cell r="D134">
            <v>28797.75</v>
          </cell>
          <cell r="E134">
            <v>28665.49</v>
          </cell>
          <cell r="F134">
            <v>143</v>
          </cell>
          <cell r="G134">
            <v>0.995</v>
          </cell>
          <cell r="H134">
            <v>0.99609999999999999</v>
          </cell>
          <cell r="I134">
            <v>0.995</v>
          </cell>
          <cell r="J134" t="str">
            <v>M1A1</v>
          </cell>
          <cell r="K134" t="str">
            <v>CRAVO NORTE</v>
          </cell>
          <cell r="L134" t="str">
            <v>CRAVO NORTE</v>
          </cell>
          <cell r="M134" t="str">
            <v>CRAVO NORTE</v>
          </cell>
        </row>
        <row r="135">
          <cell r="B135" t="str">
            <v>CV-04</v>
          </cell>
          <cell r="C135">
            <v>15971.03</v>
          </cell>
          <cell r="D135">
            <v>15051.29</v>
          </cell>
          <cell r="E135">
            <v>15971.03</v>
          </cell>
          <cell r="F135">
            <v>57</v>
          </cell>
          <cell r="G135">
            <v>0.99639999999999995</v>
          </cell>
          <cell r="H135">
            <v>0.99639999999999995</v>
          </cell>
          <cell r="I135">
            <v>0.99639999999999995</v>
          </cell>
          <cell r="J135" t="str">
            <v>C5c-C5dA</v>
          </cell>
          <cell r="K135" t="str">
            <v>CRAVO NORTE</v>
          </cell>
          <cell r="L135" t="str">
            <v>CRAVO NORTE</v>
          </cell>
          <cell r="M135" t="str">
            <v>CRAVO NORTE</v>
          </cell>
        </row>
        <row r="136">
          <cell r="B136" t="str">
            <v>CV-07</v>
          </cell>
          <cell r="C136">
            <v>2538.52</v>
          </cell>
          <cell r="D136">
            <v>2630</v>
          </cell>
          <cell r="E136">
            <v>2538.52</v>
          </cell>
          <cell r="F136">
            <v>88</v>
          </cell>
          <cell r="G136">
            <v>0.96519999999999995</v>
          </cell>
          <cell r="H136">
            <v>0.95979999999999999</v>
          </cell>
          <cell r="I136">
            <v>0.96519999999999995</v>
          </cell>
          <cell r="J136" t="str">
            <v>M2A</v>
          </cell>
          <cell r="K136" t="str">
            <v>CRAVO NORTE</v>
          </cell>
          <cell r="L136" t="str">
            <v>CRAVO NORTE</v>
          </cell>
          <cell r="M136" t="str">
            <v>CRAVO NORTE</v>
          </cell>
        </row>
        <row r="137">
          <cell r="B137" t="str">
            <v>CV-11</v>
          </cell>
          <cell r="C137">
            <v>469.1</v>
          </cell>
          <cell r="D137">
            <v>469.1</v>
          </cell>
          <cell r="E137">
            <v>0</v>
          </cell>
          <cell r="F137">
            <v>18</v>
          </cell>
          <cell r="G137">
            <v>0.96099999999999997</v>
          </cell>
          <cell r="H137">
            <v>0.96099999999999997</v>
          </cell>
          <cell r="I137">
            <v>0</v>
          </cell>
          <cell r="J137" t="str">
            <v>N/A</v>
          </cell>
          <cell r="K137" t="str">
            <v>CRAVO NORTE</v>
          </cell>
          <cell r="L137" t="str">
            <v>CRAVO NORTE</v>
          </cell>
          <cell r="M137">
            <v>0</v>
          </cell>
        </row>
        <row r="138">
          <cell r="B138" t="str">
            <v>CV-12</v>
          </cell>
          <cell r="C138">
            <v>1464.18</v>
          </cell>
          <cell r="D138">
            <v>1398.16</v>
          </cell>
          <cell r="E138">
            <v>1464.18</v>
          </cell>
          <cell r="F138">
            <v>26</v>
          </cell>
          <cell r="G138">
            <v>0.98199999999999998</v>
          </cell>
          <cell r="H138">
            <v>0.98199999999999998</v>
          </cell>
          <cell r="I138">
            <v>0.98199999999999998</v>
          </cell>
          <cell r="J138" t="str">
            <v>N/A</v>
          </cell>
          <cell r="K138" t="str">
            <v>CRAVO NORTE</v>
          </cell>
          <cell r="L138" t="str">
            <v>CRAVO NORTE</v>
          </cell>
          <cell r="M138" t="str">
            <v>CRAVO NORTE</v>
          </cell>
        </row>
        <row r="139">
          <cell r="B139" t="str">
            <v>CV-14</v>
          </cell>
          <cell r="C139">
            <v>2446.7199999999998</v>
          </cell>
          <cell r="D139">
            <v>1460</v>
          </cell>
          <cell r="E139">
            <v>2446.7199999999998</v>
          </cell>
          <cell r="F139">
            <v>37</v>
          </cell>
          <cell r="G139">
            <v>0.98499999999999999</v>
          </cell>
          <cell r="H139">
            <v>0.89500000000000002</v>
          </cell>
          <cell r="I139">
            <v>0.98499999999999999</v>
          </cell>
          <cell r="J139" t="str">
            <v>N/A</v>
          </cell>
          <cell r="K139" t="str">
            <v>CRAVO NORTE</v>
          </cell>
          <cell r="L139" t="str">
            <v>CRAVO NORTE</v>
          </cell>
          <cell r="M139" t="str">
            <v>CRAVO NORTE</v>
          </cell>
        </row>
        <row r="140">
          <cell r="B140" t="str">
            <v>CV-19</v>
          </cell>
          <cell r="C140">
            <v>3304.12</v>
          </cell>
          <cell r="D140">
            <v>3290.51</v>
          </cell>
          <cell r="E140">
            <v>3304.12</v>
          </cell>
          <cell r="F140">
            <v>66</v>
          </cell>
          <cell r="G140">
            <v>0.98</v>
          </cell>
          <cell r="H140">
            <v>0.98</v>
          </cell>
          <cell r="I140">
            <v>0.98</v>
          </cell>
          <cell r="J140" t="str">
            <v>M2A</v>
          </cell>
          <cell r="K140" t="str">
            <v>CRAVO NORTE</v>
          </cell>
          <cell r="L140" t="str">
            <v>CRAVO NORTE</v>
          </cell>
          <cell r="M140" t="str">
            <v>CRAVO NORTE</v>
          </cell>
        </row>
        <row r="141">
          <cell r="B141" t="str">
            <v>CY-02</v>
          </cell>
          <cell r="C141">
            <v>5899.31</v>
          </cell>
          <cell r="D141">
            <v>5899.31</v>
          </cell>
          <cell r="E141">
            <v>0</v>
          </cell>
          <cell r="F141">
            <v>27</v>
          </cell>
          <cell r="G141">
            <v>0.99549999999999994</v>
          </cell>
          <cell r="H141">
            <v>0.99549999999999994</v>
          </cell>
          <cell r="I141">
            <v>0</v>
          </cell>
          <cell r="J141" t="str">
            <v>M3B-M3A-M3C-M3C1</v>
          </cell>
          <cell r="K141" t="str">
            <v>CRAVO NORTE</v>
          </cell>
          <cell r="L141" t="str">
            <v>CRAVO NORTE</v>
          </cell>
          <cell r="M141">
            <v>0</v>
          </cell>
        </row>
        <row r="142">
          <cell r="B142" t="str">
            <v>CY-05</v>
          </cell>
          <cell r="C142">
            <v>3621.87</v>
          </cell>
          <cell r="D142">
            <v>4300</v>
          </cell>
          <cell r="E142">
            <v>3621.87</v>
          </cell>
          <cell r="F142">
            <v>199</v>
          </cell>
          <cell r="G142">
            <v>0.94499999999999995</v>
          </cell>
          <cell r="H142">
            <v>0.99590000000000001</v>
          </cell>
          <cell r="I142">
            <v>0.94499999999999995</v>
          </cell>
          <cell r="J142" t="str">
            <v>GUAFITA-M2A1</v>
          </cell>
          <cell r="K142" t="str">
            <v>CRAVO NORTE</v>
          </cell>
          <cell r="L142" t="str">
            <v>CRAVO NORTE</v>
          </cell>
          <cell r="M142" t="str">
            <v>CRAVO NORTE</v>
          </cell>
        </row>
        <row r="143">
          <cell r="B143" t="str">
            <v>CY-08</v>
          </cell>
          <cell r="C143">
            <v>18931.310000000001</v>
          </cell>
          <cell r="D143">
            <v>20430.68</v>
          </cell>
          <cell r="E143">
            <v>18931.310000000001</v>
          </cell>
          <cell r="F143">
            <v>81</v>
          </cell>
          <cell r="G143">
            <v>0.99569999999999992</v>
          </cell>
          <cell r="H143">
            <v>0.997</v>
          </cell>
          <cell r="I143">
            <v>0.99569999999999992</v>
          </cell>
          <cell r="J143" t="str">
            <v>N/A</v>
          </cell>
          <cell r="K143" t="str">
            <v>CRAVO NORTE</v>
          </cell>
          <cell r="L143" t="str">
            <v>CRAVO NORTE</v>
          </cell>
          <cell r="M143" t="str">
            <v>CRAVO NORTE</v>
          </cell>
        </row>
        <row r="144">
          <cell r="B144" t="str">
            <v>CY-10</v>
          </cell>
          <cell r="C144">
            <v>2460.91</v>
          </cell>
          <cell r="D144">
            <v>2388.98</v>
          </cell>
          <cell r="E144">
            <v>2460.91</v>
          </cell>
          <cell r="F144">
            <v>46</v>
          </cell>
          <cell r="G144">
            <v>0.98120000000000007</v>
          </cell>
          <cell r="H144">
            <v>0.98120000000000007</v>
          </cell>
          <cell r="I144">
            <v>0.98120000000000007</v>
          </cell>
          <cell r="J144" t="str">
            <v>C5dA</v>
          </cell>
          <cell r="K144" t="str">
            <v>CRAVO NORTE</v>
          </cell>
          <cell r="L144" t="str">
            <v>CRAVO NORTE</v>
          </cell>
          <cell r="M144" t="str">
            <v>CRAVO NORTE</v>
          </cell>
        </row>
        <row r="145">
          <cell r="B145" t="str">
            <v>CY-11</v>
          </cell>
          <cell r="C145">
            <v>835</v>
          </cell>
          <cell r="D145">
            <v>870.62</v>
          </cell>
          <cell r="E145">
            <v>835</v>
          </cell>
          <cell r="F145">
            <v>18</v>
          </cell>
          <cell r="G145">
            <v>0.97849999999999993</v>
          </cell>
          <cell r="H145">
            <v>0.97499999999999998</v>
          </cell>
          <cell r="I145">
            <v>0.97849999999999993</v>
          </cell>
          <cell r="J145" t="str">
            <v>N/A</v>
          </cell>
          <cell r="K145" t="str">
            <v>CRAVO NORTE</v>
          </cell>
          <cell r="L145" t="str">
            <v>CRAVO NORTE</v>
          </cell>
          <cell r="M145" t="str">
            <v>CRAVO NORTE</v>
          </cell>
        </row>
        <row r="146">
          <cell r="B146" t="str">
            <v>CY-12</v>
          </cell>
          <cell r="C146">
            <v>1948.64</v>
          </cell>
          <cell r="D146">
            <v>2048.14</v>
          </cell>
          <cell r="E146">
            <v>1948.64</v>
          </cell>
          <cell r="F146">
            <v>31</v>
          </cell>
          <cell r="G146">
            <v>0.9840000000000001</v>
          </cell>
          <cell r="H146">
            <v>0.98</v>
          </cell>
          <cell r="I146">
            <v>0.9840000000000001</v>
          </cell>
          <cell r="J146" t="str">
            <v>GUAFITA</v>
          </cell>
          <cell r="K146" t="str">
            <v>CRAVO NORTE</v>
          </cell>
          <cell r="L146" t="str">
            <v>CRAVO NORTE</v>
          </cell>
          <cell r="M146" t="str">
            <v>CRAVO NORTE</v>
          </cell>
        </row>
        <row r="147">
          <cell r="B147" t="str">
            <v>CY-14</v>
          </cell>
          <cell r="C147">
            <v>22424.69</v>
          </cell>
          <cell r="D147">
            <v>22141.96</v>
          </cell>
          <cell r="E147">
            <v>22424.69</v>
          </cell>
          <cell r="F147">
            <v>70</v>
          </cell>
          <cell r="G147">
            <v>0.99690000000000001</v>
          </cell>
          <cell r="H147">
            <v>0.99690000000000001</v>
          </cell>
          <cell r="I147">
            <v>0.99690000000000001</v>
          </cell>
          <cell r="J147" t="str">
            <v>M1A1</v>
          </cell>
          <cell r="K147" t="str">
            <v>CRAVO NORTE</v>
          </cell>
          <cell r="L147" t="str">
            <v>CRAVO NORTE</v>
          </cell>
          <cell r="M147" t="str">
            <v>CRAVO NORTE</v>
          </cell>
        </row>
        <row r="148">
          <cell r="B148" t="str">
            <v>CY-15</v>
          </cell>
          <cell r="C148">
            <v>18146.009999999998</v>
          </cell>
          <cell r="D148">
            <v>18146.009999999998</v>
          </cell>
          <cell r="E148">
            <v>0</v>
          </cell>
          <cell r="F148">
            <v>67</v>
          </cell>
          <cell r="G148">
            <v>0.99629999999999996</v>
          </cell>
          <cell r="H148">
            <v>0.99629999999999996</v>
          </cell>
          <cell r="I148">
            <v>0</v>
          </cell>
          <cell r="J148" t="str">
            <v>M1B-M1A2-M1A1</v>
          </cell>
          <cell r="K148" t="str">
            <v>CRAVO NORTE</v>
          </cell>
          <cell r="L148" t="str">
            <v>CRAVO NORTE</v>
          </cell>
          <cell r="M148">
            <v>0</v>
          </cell>
        </row>
        <row r="149">
          <cell r="B149" t="str">
            <v>CY-16</v>
          </cell>
          <cell r="C149">
            <v>11944.36</v>
          </cell>
          <cell r="D149">
            <v>10981.43</v>
          </cell>
          <cell r="E149">
            <v>11944.36</v>
          </cell>
          <cell r="F149">
            <v>16</v>
          </cell>
          <cell r="G149">
            <v>0.99870000000000003</v>
          </cell>
          <cell r="H149">
            <v>0.995</v>
          </cell>
          <cell r="I149">
            <v>0.99870000000000003</v>
          </cell>
          <cell r="J149" t="str">
            <v>M3B-M3A-M4S-M2A1-M4-M3C-M4A</v>
          </cell>
          <cell r="K149" t="str">
            <v>CRAVO NORTE</v>
          </cell>
          <cell r="L149" t="str">
            <v>CRAVO NORTE</v>
          </cell>
          <cell r="M149" t="str">
            <v>CRAVO NORTE</v>
          </cell>
        </row>
        <row r="150">
          <cell r="B150" t="str">
            <v>CY-17</v>
          </cell>
          <cell r="C150">
            <v>1683</v>
          </cell>
          <cell r="D150">
            <v>1875.37</v>
          </cell>
          <cell r="E150">
            <v>1683</v>
          </cell>
          <cell r="F150">
            <v>99</v>
          </cell>
          <cell r="G150">
            <v>0.94129999999999991</v>
          </cell>
          <cell r="H150">
            <v>0.94550000000000001</v>
          </cell>
          <cell r="I150">
            <v>0.94129999999999991</v>
          </cell>
          <cell r="J150" t="str">
            <v>C5dA</v>
          </cell>
          <cell r="K150" t="str">
            <v>CRAVO NORTE</v>
          </cell>
          <cell r="L150" t="str">
            <v>CRAVO NORTE</v>
          </cell>
          <cell r="M150" t="str">
            <v>CRAVO NORTE</v>
          </cell>
        </row>
        <row r="151">
          <cell r="B151" t="str">
            <v>CY-19</v>
          </cell>
          <cell r="C151">
            <v>17623.32</v>
          </cell>
          <cell r="D151">
            <v>14875.82</v>
          </cell>
          <cell r="E151">
            <v>17623.32</v>
          </cell>
          <cell r="F151">
            <v>63</v>
          </cell>
          <cell r="G151">
            <v>0.99639999999999995</v>
          </cell>
          <cell r="H151">
            <v>0.99400000000000011</v>
          </cell>
          <cell r="I151">
            <v>0.99639999999999995</v>
          </cell>
          <cell r="J151" t="str">
            <v>M2B-M2A1-M3A</v>
          </cell>
          <cell r="K151" t="str">
            <v>CRAVO NORTE</v>
          </cell>
          <cell r="L151" t="str">
            <v>CRAVO NORTE</v>
          </cell>
          <cell r="M151" t="str">
            <v>CRAVO NORTE</v>
          </cell>
        </row>
        <row r="152">
          <cell r="B152" t="str">
            <v>CY-21</v>
          </cell>
          <cell r="C152">
            <v>24007.79</v>
          </cell>
          <cell r="D152">
            <v>21955.49</v>
          </cell>
          <cell r="E152">
            <v>24007.79</v>
          </cell>
          <cell r="F152">
            <v>110</v>
          </cell>
          <cell r="G152">
            <v>0.99540000000000006</v>
          </cell>
          <cell r="H152">
            <v>0.99540000000000006</v>
          </cell>
          <cell r="I152">
            <v>0.99540000000000006</v>
          </cell>
          <cell r="J152" t="str">
            <v>M3B-M2A1-M3A</v>
          </cell>
          <cell r="K152" t="str">
            <v>CRAVO NORTE</v>
          </cell>
          <cell r="L152" t="str">
            <v>CRAVO NORTE</v>
          </cell>
          <cell r="M152" t="str">
            <v>CRAVO NORTE</v>
          </cell>
        </row>
        <row r="153">
          <cell r="B153" t="str">
            <v>CY-23</v>
          </cell>
          <cell r="C153">
            <v>14797.51</v>
          </cell>
          <cell r="D153">
            <v>16506.259999999998</v>
          </cell>
          <cell r="E153">
            <v>14797.51</v>
          </cell>
          <cell r="F153">
            <v>47</v>
          </cell>
          <cell r="G153">
            <v>0.99680000000000002</v>
          </cell>
          <cell r="H153">
            <v>0.99680000000000002</v>
          </cell>
          <cell r="I153">
            <v>0.99680000000000002</v>
          </cell>
          <cell r="J153" t="str">
            <v>M2A1-M2B-M3A</v>
          </cell>
          <cell r="K153" t="str">
            <v>CRAVO NORTE</v>
          </cell>
          <cell r="L153" t="str">
            <v>CRAVO NORTE</v>
          </cell>
          <cell r="M153" t="str">
            <v>CRAVO NORTE</v>
          </cell>
        </row>
        <row r="154">
          <cell r="B154" t="str">
            <v>CY-25</v>
          </cell>
          <cell r="C154">
            <v>215</v>
          </cell>
          <cell r="D154">
            <v>9300</v>
          </cell>
          <cell r="E154">
            <v>215</v>
          </cell>
          <cell r="F154">
            <v>204</v>
          </cell>
          <cell r="G154">
            <v>0.05</v>
          </cell>
          <cell r="H154">
            <v>0.99170000000000003</v>
          </cell>
          <cell r="I154">
            <v>0.05</v>
          </cell>
          <cell r="J154" t="str">
            <v>K1B2_Upper-K1B1_Upper</v>
          </cell>
          <cell r="K154" t="str">
            <v>CRAVO NORTE</v>
          </cell>
          <cell r="L154" t="str">
            <v>CRAVO NORTE</v>
          </cell>
          <cell r="M154" t="str">
            <v>CRAVO NORTE</v>
          </cell>
        </row>
        <row r="155">
          <cell r="B155" t="str">
            <v>CY-28</v>
          </cell>
          <cell r="C155">
            <v>1621.41</v>
          </cell>
          <cell r="D155">
            <v>1520.59</v>
          </cell>
          <cell r="E155">
            <v>1621.41</v>
          </cell>
          <cell r="F155">
            <v>185</v>
          </cell>
          <cell r="G155">
            <v>0.8859999999999999</v>
          </cell>
          <cell r="H155">
            <v>0.8859999999999999</v>
          </cell>
          <cell r="I155">
            <v>0.8859999999999999</v>
          </cell>
          <cell r="J155" t="str">
            <v>C5dA</v>
          </cell>
          <cell r="K155" t="str">
            <v>CRAVO NORTE</v>
          </cell>
          <cell r="L155" t="str">
            <v>CRAVO NORTE</v>
          </cell>
          <cell r="M155" t="str">
            <v>CRAVO NORTE</v>
          </cell>
        </row>
        <row r="156">
          <cell r="B156" t="str">
            <v>CY-30</v>
          </cell>
          <cell r="C156">
            <v>2787.09</v>
          </cell>
          <cell r="D156">
            <v>2787.09</v>
          </cell>
          <cell r="E156">
            <v>0</v>
          </cell>
          <cell r="F156">
            <v>2787</v>
          </cell>
          <cell r="G156">
            <v>0</v>
          </cell>
          <cell r="H156">
            <v>0</v>
          </cell>
          <cell r="I156">
            <v>0</v>
          </cell>
          <cell r="J156" t="str">
            <v>N/A</v>
          </cell>
          <cell r="K156" t="str">
            <v>CRAVO NORTE</v>
          </cell>
          <cell r="L156" t="str">
            <v>CRAVO NORTE</v>
          </cell>
          <cell r="M156">
            <v>0</v>
          </cell>
        </row>
        <row r="157">
          <cell r="B157" t="str">
            <v>CY-32</v>
          </cell>
          <cell r="C157">
            <v>20642.11</v>
          </cell>
          <cell r="D157">
            <v>25226.400000000001</v>
          </cell>
          <cell r="E157">
            <v>20642.11</v>
          </cell>
          <cell r="F157">
            <v>81</v>
          </cell>
          <cell r="G157">
            <v>0.99609999999999999</v>
          </cell>
          <cell r="H157">
            <v>0.99609999999999999</v>
          </cell>
          <cell r="I157">
            <v>0.99609999999999999</v>
          </cell>
          <cell r="J157" t="str">
            <v>M2B-M2A0</v>
          </cell>
          <cell r="K157" t="str">
            <v>CRAVO NORTE</v>
          </cell>
          <cell r="L157" t="str">
            <v>CRAVO NORTE</v>
          </cell>
          <cell r="M157" t="str">
            <v>CRAVO NORTE</v>
          </cell>
        </row>
        <row r="158">
          <cell r="B158" t="str">
            <v>CY-40</v>
          </cell>
          <cell r="C158">
            <v>8700</v>
          </cell>
          <cell r="D158">
            <v>11455.62</v>
          </cell>
          <cell r="E158">
            <v>8700</v>
          </cell>
          <cell r="F158">
            <v>35</v>
          </cell>
          <cell r="G158">
            <v>0.996</v>
          </cell>
          <cell r="H158">
            <v>0.996</v>
          </cell>
          <cell r="I158">
            <v>0.996</v>
          </cell>
          <cell r="J158" t="str">
            <v>M1A1</v>
          </cell>
          <cell r="K158" t="str">
            <v>CRAVO NORTE</v>
          </cell>
          <cell r="L158" t="str">
            <v>CRAVO NORTE</v>
          </cell>
          <cell r="M158" t="str">
            <v>CRAVO NORTE</v>
          </cell>
        </row>
        <row r="159">
          <cell r="B159" t="str">
            <v>CY-41</v>
          </cell>
          <cell r="C159">
            <v>10949.99</v>
          </cell>
          <cell r="D159">
            <v>11606.76</v>
          </cell>
          <cell r="E159">
            <v>10949.99</v>
          </cell>
          <cell r="F159">
            <v>71</v>
          </cell>
          <cell r="G159">
            <v>0.99349999999999994</v>
          </cell>
          <cell r="H159">
            <v>0.99349999999999994</v>
          </cell>
          <cell r="I159">
            <v>0.99349999999999994</v>
          </cell>
          <cell r="J159" t="str">
            <v>M2A1</v>
          </cell>
          <cell r="K159" t="str">
            <v>CRAVO NORTE</v>
          </cell>
          <cell r="L159" t="str">
            <v>CRAVO NORTE</v>
          </cell>
          <cell r="M159" t="str">
            <v>CRAVO NORTE</v>
          </cell>
        </row>
        <row r="160">
          <cell r="B160" t="str">
            <v>CY-45</v>
          </cell>
          <cell r="C160">
            <v>13541.1</v>
          </cell>
          <cell r="D160">
            <v>13821.93</v>
          </cell>
          <cell r="E160">
            <v>13541.1</v>
          </cell>
          <cell r="F160">
            <v>62</v>
          </cell>
          <cell r="G160">
            <v>0.99540000000000006</v>
          </cell>
          <cell r="H160">
            <v>0.99540000000000006</v>
          </cell>
          <cell r="I160">
            <v>0.99540000000000006</v>
          </cell>
          <cell r="J160" t="str">
            <v>N/A</v>
          </cell>
          <cell r="K160" t="str">
            <v>CRAVO NORTE</v>
          </cell>
          <cell r="L160" t="str">
            <v>CRAVO NORTE</v>
          </cell>
          <cell r="M160" t="str">
            <v>CRAVO NORTE</v>
          </cell>
        </row>
        <row r="161">
          <cell r="B161" t="str">
            <v>CY-47ST</v>
          </cell>
          <cell r="C161">
            <v>16849.82</v>
          </cell>
          <cell r="D161">
            <v>17494.32</v>
          </cell>
          <cell r="E161">
            <v>16849.82</v>
          </cell>
          <cell r="F161">
            <v>140</v>
          </cell>
          <cell r="G161">
            <v>0.99170000000000003</v>
          </cell>
          <cell r="H161">
            <v>0.99170000000000003</v>
          </cell>
          <cell r="I161">
            <v>0.99170000000000003</v>
          </cell>
          <cell r="J161" t="str">
            <v>M1A1</v>
          </cell>
          <cell r="K161" t="str">
            <v>CRAVO NORTE</v>
          </cell>
          <cell r="L161" t="str">
            <v>CRAVO NORTE</v>
          </cell>
          <cell r="M161" t="str">
            <v>CRAVO NORTE</v>
          </cell>
        </row>
        <row r="162">
          <cell r="B162" t="str">
            <v>CY-49</v>
          </cell>
          <cell r="C162">
            <v>6800</v>
          </cell>
          <cell r="D162">
            <v>8661.23</v>
          </cell>
          <cell r="E162">
            <v>6800</v>
          </cell>
          <cell r="F162">
            <v>45</v>
          </cell>
          <cell r="G162">
            <v>0.99340000000000006</v>
          </cell>
          <cell r="H162">
            <v>0.99</v>
          </cell>
          <cell r="I162">
            <v>0.99340000000000006</v>
          </cell>
          <cell r="J162" t="str">
            <v>M3B-M2B</v>
          </cell>
          <cell r="K162" t="str">
            <v>CRAVO NORTE</v>
          </cell>
          <cell r="L162" t="str">
            <v>CRAVO NORTE</v>
          </cell>
          <cell r="M162" t="str">
            <v>CRAVO NORTE</v>
          </cell>
        </row>
        <row r="163">
          <cell r="B163" t="str">
            <v>CY-50</v>
          </cell>
          <cell r="C163">
            <v>3467.86</v>
          </cell>
          <cell r="D163">
            <v>3524.12</v>
          </cell>
          <cell r="E163">
            <v>3467.86</v>
          </cell>
          <cell r="F163">
            <v>48</v>
          </cell>
          <cell r="G163">
            <v>0.98620000000000008</v>
          </cell>
          <cell r="H163">
            <v>0.98499999999999999</v>
          </cell>
          <cell r="I163">
            <v>0.98620000000000008</v>
          </cell>
          <cell r="J163" t="str">
            <v>K1C1_ower-K1C1</v>
          </cell>
          <cell r="K163" t="str">
            <v>CRAVO NORTE</v>
          </cell>
          <cell r="L163" t="str">
            <v>CRAVO NORTE</v>
          </cell>
          <cell r="M163" t="str">
            <v>CRAVO NORTE</v>
          </cell>
        </row>
        <row r="164">
          <cell r="B164" t="str">
            <v>CY-51</v>
          </cell>
          <cell r="C164">
            <v>5817.85</v>
          </cell>
          <cell r="D164">
            <v>6000</v>
          </cell>
          <cell r="E164">
            <v>5817.85</v>
          </cell>
          <cell r="F164">
            <v>64</v>
          </cell>
          <cell r="G164">
            <v>0.9890000000000001</v>
          </cell>
          <cell r="H164">
            <v>0.99990000000000001</v>
          </cell>
          <cell r="I164">
            <v>0.9890000000000001</v>
          </cell>
          <cell r="J164" t="str">
            <v>N/A</v>
          </cell>
          <cell r="K164" t="str">
            <v>CRAVO NORTE</v>
          </cell>
          <cell r="L164" t="str">
            <v>CRAVO NORTE</v>
          </cell>
          <cell r="M164" t="str">
            <v>CRAVO NORTE</v>
          </cell>
        </row>
        <row r="165">
          <cell r="B165" t="str">
            <v>CY-52</v>
          </cell>
          <cell r="C165">
            <v>4192.74</v>
          </cell>
          <cell r="D165">
            <v>4356.03</v>
          </cell>
          <cell r="E165">
            <v>4192.74</v>
          </cell>
          <cell r="F165">
            <v>47</v>
          </cell>
          <cell r="G165">
            <v>0.9889</v>
          </cell>
          <cell r="H165">
            <v>0.9889</v>
          </cell>
          <cell r="I165">
            <v>0.9889</v>
          </cell>
          <cell r="J165" t="str">
            <v>M2A1</v>
          </cell>
          <cell r="K165" t="str">
            <v>CRAVO NORTE</v>
          </cell>
          <cell r="L165" t="str">
            <v>CRAVO NORTE</v>
          </cell>
          <cell r="M165" t="str">
            <v>CRAVO NORTE</v>
          </cell>
        </row>
        <row r="166">
          <cell r="B166" t="str">
            <v>CY-53</v>
          </cell>
          <cell r="C166">
            <v>25860</v>
          </cell>
          <cell r="D166">
            <v>27800</v>
          </cell>
          <cell r="E166">
            <v>25860</v>
          </cell>
          <cell r="F166">
            <v>251</v>
          </cell>
          <cell r="G166">
            <v>0.99029999999999996</v>
          </cell>
          <cell r="H166">
            <v>0.98950000000000005</v>
          </cell>
          <cell r="I166">
            <v>0.99029999999999996</v>
          </cell>
          <cell r="J166" t="str">
            <v>M2A0</v>
          </cell>
          <cell r="K166" t="str">
            <v>CRAVO NORTE</v>
          </cell>
          <cell r="L166" t="str">
            <v>CRAVO NORTE</v>
          </cell>
          <cell r="M166" t="str">
            <v>CRAVO NORTE</v>
          </cell>
        </row>
        <row r="167">
          <cell r="B167" t="str">
            <v>CY-54</v>
          </cell>
          <cell r="C167">
            <v>4340.79</v>
          </cell>
          <cell r="D167">
            <v>4439.3100000000004</v>
          </cell>
          <cell r="E167">
            <v>4340.79</v>
          </cell>
          <cell r="F167">
            <v>30</v>
          </cell>
          <cell r="G167">
            <v>0.99309999999999998</v>
          </cell>
          <cell r="H167">
            <v>0.99230000000000007</v>
          </cell>
          <cell r="I167">
            <v>0.99309999999999998</v>
          </cell>
          <cell r="J167" t="str">
            <v>N/A</v>
          </cell>
          <cell r="K167" t="str">
            <v>CRAVO NORTE</v>
          </cell>
          <cell r="L167" t="str">
            <v>CRAVO NORTE</v>
          </cell>
          <cell r="M167" t="str">
            <v>CRAVO NORTE</v>
          </cell>
        </row>
        <row r="168">
          <cell r="B168" t="str">
            <v>CY-57</v>
          </cell>
          <cell r="C168">
            <v>14580</v>
          </cell>
          <cell r="D168">
            <v>14402.53</v>
          </cell>
          <cell r="E168">
            <v>14580</v>
          </cell>
          <cell r="F168">
            <v>23</v>
          </cell>
          <cell r="G168">
            <v>0.99840000000000007</v>
          </cell>
          <cell r="H168">
            <v>0.99719999999999998</v>
          </cell>
          <cell r="I168">
            <v>0.99840000000000007</v>
          </cell>
          <cell r="J168" t="str">
            <v>M1A1</v>
          </cell>
          <cell r="K168" t="str">
            <v>CRAVO NORTE</v>
          </cell>
          <cell r="L168" t="str">
            <v>CRAVO NORTE</v>
          </cell>
          <cell r="M168" t="str">
            <v>CRAVO NORTE</v>
          </cell>
        </row>
        <row r="169">
          <cell r="B169" t="str">
            <v>CY-60</v>
          </cell>
          <cell r="C169">
            <v>23016.87</v>
          </cell>
          <cell r="D169">
            <v>24151.23</v>
          </cell>
          <cell r="E169">
            <v>23016.87</v>
          </cell>
          <cell r="F169">
            <v>78</v>
          </cell>
          <cell r="G169">
            <v>0.99659999999999993</v>
          </cell>
          <cell r="H169">
            <v>0.99659999999999993</v>
          </cell>
          <cell r="I169">
            <v>0.99659999999999993</v>
          </cell>
          <cell r="J169" t="str">
            <v>M4</v>
          </cell>
          <cell r="K169" t="str">
            <v>CRAVO NORTE</v>
          </cell>
          <cell r="L169" t="str">
            <v>CRAVO NORTE</v>
          </cell>
          <cell r="M169" t="str">
            <v>CRAVO NORTE</v>
          </cell>
        </row>
        <row r="170">
          <cell r="B170" t="str">
            <v>CY-61</v>
          </cell>
          <cell r="C170">
            <v>397.58</v>
          </cell>
          <cell r="D170">
            <v>397.58</v>
          </cell>
          <cell r="E170">
            <v>0</v>
          </cell>
          <cell r="F170">
            <v>167</v>
          </cell>
          <cell r="G170">
            <v>0.57999999999999996</v>
          </cell>
          <cell r="H170">
            <v>0.57999999999999996</v>
          </cell>
          <cell r="I170">
            <v>0</v>
          </cell>
          <cell r="J170" t="str">
            <v>N/A</v>
          </cell>
          <cell r="K170" t="str">
            <v>CRAVO NORTE</v>
          </cell>
          <cell r="L170" t="str">
            <v>CRAVO NORTE</v>
          </cell>
          <cell r="M170">
            <v>0</v>
          </cell>
        </row>
        <row r="171">
          <cell r="B171" t="str">
            <v>CY-62</v>
          </cell>
          <cell r="C171">
            <v>15697.01</v>
          </cell>
          <cell r="D171">
            <v>16115.28</v>
          </cell>
          <cell r="E171">
            <v>15697.01</v>
          </cell>
          <cell r="F171">
            <v>50</v>
          </cell>
          <cell r="G171">
            <v>0.99680000000000002</v>
          </cell>
          <cell r="H171">
            <v>0.99680000000000002</v>
          </cell>
          <cell r="I171">
            <v>0.99680000000000002</v>
          </cell>
          <cell r="J171" t="str">
            <v>M3B-M3A</v>
          </cell>
          <cell r="K171" t="str">
            <v>CRAVO NORTE</v>
          </cell>
          <cell r="L171" t="str">
            <v>CRAVO NORTE</v>
          </cell>
          <cell r="M171" t="str">
            <v>CRAVO NORTE</v>
          </cell>
        </row>
        <row r="172">
          <cell r="B172" t="str">
            <v>CY-66</v>
          </cell>
          <cell r="C172">
            <v>8500.24</v>
          </cell>
          <cell r="D172">
            <v>4820</v>
          </cell>
          <cell r="E172">
            <v>8500.24</v>
          </cell>
          <cell r="F172">
            <v>1046</v>
          </cell>
          <cell r="G172">
            <v>0.877</v>
          </cell>
          <cell r="H172">
            <v>0.877</v>
          </cell>
          <cell r="I172">
            <v>0.9919</v>
          </cell>
          <cell r="J172" t="str">
            <v>N/A</v>
          </cell>
          <cell r="K172" t="str">
            <v>CRAVO NORTE</v>
          </cell>
          <cell r="L172" t="str">
            <v>CRAVO NORTE</v>
          </cell>
          <cell r="M172" t="str">
            <v>CRAVO NORTE</v>
          </cell>
        </row>
        <row r="173">
          <cell r="B173" t="str">
            <v>CY-67</v>
          </cell>
          <cell r="C173">
            <v>9826.2099999999991</v>
          </cell>
          <cell r="D173">
            <v>9826.2099999999991</v>
          </cell>
          <cell r="E173">
            <v>0</v>
          </cell>
          <cell r="F173">
            <v>25</v>
          </cell>
          <cell r="G173">
            <v>0.99750000000000005</v>
          </cell>
          <cell r="H173">
            <v>0.99750000000000005</v>
          </cell>
          <cell r="I173">
            <v>0</v>
          </cell>
          <cell r="J173" t="str">
            <v>M2B-M3A</v>
          </cell>
          <cell r="K173" t="str">
            <v>CRAVO NORTE</v>
          </cell>
          <cell r="L173" t="str">
            <v>CRAVO NORTE</v>
          </cell>
          <cell r="M173">
            <v>0</v>
          </cell>
        </row>
        <row r="174">
          <cell r="B174" t="str">
            <v>CY-69</v>
          </cell>
          <cell r="C174">
            <v>11049.27</v>
          </cell>
          <cell r="D174">
            <v>11428.84</v>
          </cell>
          <cell r="E174">
            <v>11049.27</v>
          </cell>
          <cell r="F174">
            <v>41</v>
          </cell>
          <cell r="G174">
            <v>0.99629999999999996</v>
          </cell>
          <cell r="H174">
            <v>0.99629999999999996</v>
          </cell>
          <cell r="I174">
            <v>0.99629999999999996</v>
          </cell>
          <cell r="J174" t="str">
            <v>M3C-M3A-M3B</v>
          </cell>
          <cell r="K174" t="str">
            <v>CRAVO NORTE</v>
          </cell>
          <cell r="L174" t="str">
            <v>CRAVO NORTE</v>
          </cell>
          <cell r="M174" t="str">
            <v>CRAVO NORTE</v>
          </cell>
        </row>
        <row r="175">
          <cell r="B175" t="str">
            <v>CY-70</v>
          </cell>
          <cell r="C175">
            <v>10518.86</v>
          </cell>
          <cell r="D175">
            <v>9648.81</v>
          </cell>
          <cell r="E175">
            <v>10518.86</v>
          </cell>
          <cell r="F175">
            <v>60</v>
          </cell>
          <cell r="G175">
            <v>0.99430000000000007</v>
          </cell>
          <cell r="H175">
            <v>0.99430000000000007</v>
          </cell>
          <cell r="I175">
            <v>0.99430000000000007</v>
          </cell>
          <cell r="J175" t="str">
            <v>N/A</v>
          </cell>
          <cell r="K175" t="str">
            <v>CRAVO NORTE</v>
          </cell>
          <cell r="L175" t="str">
            <v>CRAVO NORTE</v>
          </cell>
          <cell r="M175" t="str">
            <v>CRAVO NORTE</v>
          </cell>
        </row>
        <row r="176">
          <cell r="B176" t="str">
            <v>CY-74</v>
          </cell>
          <cell r="C176">
            <v>3377.67</v>
          </cell>
          <cell r="D176">
            <v>15443.24</v>
          </cell>
          <cell r="E176">
            <v>3377.67</v>
          </cell>
          <cell r="F176">
            <v>51</v>
          </cell>
          <cell r="G176">
            <v>0.98499999999999999</v>
          </cell>
          <cell r="H176">
            <v>0.99730000000000008</v>
          </cell>
          <cell r="I176">
            <v>0.98499999999999999</v>
          </cell>
          <cell r="J176" t="str">
            <v>GUAFITA</v>
          </cell>
          <cell r="K176" t="str">
            <v>CRAVO NORTE</v>
          </cell>
          <cell r="L176" t="str">
            <v>CRAVO NORTE</v>
          </cell>
          <cell r="M176" t="str">
            <v>CRAVO NORTE</v>
          </cell>
        </row>
        <row r="177">
          <cell r="B177" t="str">
            <v>CY-75</v>
          </cell>
          <cell r="C177">
            <v>10557.87</v>
          </cell>
          <cell r="D177">
            <v>11235.87</v>
          </cell>
          <cell r="E177">
            <v>10557.87</v>
          </cell>
          <cell r="F177">
            <v>52</v>
          </cell>
          <cell r="G177">
            <v>0.9951000000000001</v>
          </cell>
          <cell r="H177">
            <v>0.9951000000000001</v>
          </cell>
          <cell r="I177">
            <v>0.9951000000000001</v>
          </cell>
          <cell r="J177" t="str">
            <v>M2A1</v>
          </cell>
          <cell r="K177" t="str">
            <v>CRAVO NORTE</v>
          </cell>
          <cell r="L177" t="str">
            <v>CRAVO NORTE</v>
          </cell>
          <cell r="M177" t="str">
            <v>CRAVO NORTE</v>
          </cell>
        </row>
        <row r="178">
          <cell r="B178" t="str">
            <v>CY-77</v>
          </cell>
          <cell r="C178">
            <v>19000</v>
          </cell>
          <cell r="D178">
            <v>6989.95</v>
          </cell>
          <cell r="E178">
            <v>19000</v>
          </cell>
          <cell r="F178">
            <v>152</v>
          </cell>
          <cell r="G178">
            <v>0.99199999999999999</v>
          </cell>
          <cell r="H178">
            <v>0.99769999999999992</v>
          </cell>
          <cell r="I178">
            <v>0.99199999999999999</v>
          </cell>
          <cell r="J178" t="str">
            <v>K1A2_Upper</v>
          </cell>
          <cell r="K178" t="str">
            <v>CRAVO NORTE</v>
          </cell>
          <cell r="L178" t="str">
            <v>CRAVO NORTE</v>
          </cell>
          <cell r="M178" t="str">
            <v>CRAVO NORTE</v>
          </cell>
        </row>
        <row r="179">
          <cell r="B179" t="str">
            <v>CY-78</v>
          </cell>
          <cell r="C179">
            <v>1782.65</v>
          </cell>
          <cell r="D179">
            <v>1743.25</v>
          </cell>
          <cell r="E179">
            <v>1782.65</v>
          </cell>
          <cell r="F179">
            <v>45</v>
          </cell>
          <cell r="G179">
            <v>0.97499999999999998</v>
          </cell>
          <cell r="H179">
            <v>0.97499999999999998</v>
          </cell>
          <cell r="I179">
            <v>0.97499999999999998</v>
          </cell>
          <cell r="J179" t="str">
            <v>K1B1_Upper-K1B2_Upper</v>
          </cell>
          <cell r="K179" t="str">
            <v>CRAVO NORTE</v>
          </cell>
          <cell r="L179" t="str">
            <v>CRAVO NORTE</v>
          </cell>
          <cell r="M179" t="str">
            <v>CRAVO NORTE</v>
          </cell>
        </row>
        <row r="180">
          <cell r="B180" t="str">
            <v>CY-79</v>
          </cell>
          <cell r="C180">
            <v>26521.94</v>
          </cell>
          <cell r="D180">
            <v>19800</v>
          </cell>
          <cell r="E180">
            <v>26521.94</v>
          </cell>
          <cell r="F180">
            <v>363</v>
          </cell>
          <cell r="G180">
            <v>0.98629999999999995</v>
          </cell>
          <cell r="H180">
            <v>0.99299999999999999</v>
          </cell>
          <cell r="I180">
            <v>0.98629999999999995</v>
          </cell>
          <cell r="J180" t="str">
            <v>M1A1</v>
          </cell>
          <cell r="K180" t="str">
            <v>CRAVO NORTE</v>
          </cell>
          <cell r="L180" t="str">
            <v>CRAVO NORTE</v>
          </cell>
          <cell r="M180" t="str">
            <v>CRAVO NORTE</v>
          </cell>
        </row>
        <row r="181">
          <cell r="B181" t="str">
            <v>CY-82</v>
          </cell>
          <cell r="C181">
            <v>1074.47</v>
          </cell>
          <cell r="D181">
            <v>1063.19</v>
          </cell>
          <cell r="E181">
            <v>1074.47</v>
          </cell>
          <cell r="F181">
            <v>47</v>
          </cell>
          <cell r="G181">
            <v>0.95650000000000002</v>
          </cell>
          <cell r="H181">
            <v>0.95650000000000002</v>
          </cell>
          <cell r="I181">
            <v>0.95650000000000002</v>
          </cell>
          <cell r="J181" t="str">
            <v>K1A2_Upper</v>
          </cell>
          <cell r="K181" t="str">
            <v>CRAVO NORTE</v>
          </cell>
          <cell r="L181" t="str">
            <v>CRAVO NORTE</v>
          </cell>
          <cell r="M181" t="str">
            <v>CRAVO NORTE</v>
          </cell>
        </row>
        <row r="182">
          <cell r="B182" t="str">
            <v>CY-83</v>
          </cell>
          <cell r="C182">
            <v>4437.8900000000003</v>
          </cell>
          <cell r="D182">
            <v>4543.51</v>
          </cell>
          <cell r="E182">
            <v>4437.8900000000003</v>
          </cell>
          <cell r="F182">
            <v>40</v>
          </cell>
          <cell r="G182">
            <v>0.99099999999999999</v>
          </cell>
          <cell r="H182">
            <v>0.98819999999999997</v>
          </cell>
          <cell r="I182">
            <v>0.99099999999999999</v>
          </cell>
          <cell r="J182" t="str">
            <v>K1B2_Upper</v>
          </cell>
          <cell r="K182" t="str">
            <v>CRAVO NORTE</v>
          </cell>
          <cell r="L182" t="str">
            <v>CRAVO NORTE</v>
          </cell>
          <cell r="M182" t="str">
            <v>CRAVO NORTE</v>
          </cell>
        </row>
        <row r="183">
          <cell r="B183" t="str">
            <v>CY-84</v>
          </cell>
          <cell r="C183">
            <v>5119.74</v>
          </cell>
          <cell r="D183">
            <v>5439.66</v>
          </cell>
          <cell r="E183">
            <v>5119.74</v>
          </cell>
          <cell r="F183">
            <v>29</v>
          </cell>
          <cell r="G183">
            <v>0.99439999999999995</v>
          </cell>
          <cell r="H183">
            <v>0.99379999999999991</v>
          </cell>
          <cell r="I183">
            <v>0.99439999999999995</v>
          </cell>
          <cell r="J183" t="str">
            <v>M2A1</v>
          </cell>
          <cell r="K183" t="str">
            <v>CRAVO NORTE</v>
          </cell>
          <cell r="L183" t="str">
            <v>CRAVO NORTE</v>
          </cell>
          <cell r="M183" t="str">
            <v>CRAVO NORTE</v>
          </cell>
        </row>
        <row r="184">
          <cell r="B184" t="str">
            <v>CY-86</v>
          </cell>
          <cell r="C184">
            <v>11810</v>
          </cell>
          <cell r="D184">
            <v>12266</v>
          </cell>
          <cell r="E184">
            <v>11810</v>
          </cell>
          <cell r="F184">
            <v>56</v>
          </cell>
          <cell r="G184">
            <v>0.99529999999999996</v>
          </cell>
          <cell r="H184">
            <v>0.99529999999999996</v>
          </cell>
          <cell r="I184">
            <v>0.99529999999999996</v>
          </cell>
          <cell r="J184" t="str">
            <v>M1A1</v>
          </cell>
          <cell r="K184" t="str">
            <v>CRAVO NORTE</v>
          </cell>
          <cell r="L184" t="str">
            <v>CRAVO NORTE</v>
          </cell>
          <cell r="M184" t="str">
            <v>CRAVO NORTE</v>
          </cell>
        </row>
        <row r="185">
          <cell r="B185" t="str">
            <v>CY-87</v>
          </cell>
          <cell r="C185">
            <v>10073.24</v>
          </cell>
          <cell r="D185">
            <v>10542.01</v>
          </cell>
          <cell r="E185">
            <v>10073.24</v>
          </cell>
          <cell r="F185">
            <v>34</v>
          </cell>
          <cell r="G185">
            <v>0.99659999999999993</v>
          </cell>
          <cell r="H185">
            <v>0.99590000000000001</v>
          </cell>
          <cell r="I185">
            <v>0.99659999999999993</v>
          </cell>
          <cell r="J185" t="str">
            <v>M1B-M1A2</v>
          </cell>
          <cell r="K185" t="str">
            <v>CRAVO NORTE</v>
          </cell>
          <cell r="L185" t="str">
            <v>CRAVO NORTE</v>
          </cell>
          <cell r="M185" t="str">
            <v>CRAVO NORTE</v>
          </cell>
        </row>
        <row r="186">
          <cell r="B186" t="str">
            <v>CY-89</v>
          </cell>
          <cell r="C186">
            <v>65</v>
          </cell>
          <cell r="D186">
            <v>65</v>
          </cell>
          <cell r="E186">
            <v>0</v>
          </cell>
          <cell r="F186">
            <v>62</v>
          </cell>
          <cell r="G186">
            <v>0.04</v>
          </cell>
          <cell r="H186">
            <v>0.04</v>
          </cell>
          <cell r="I186">
            <v>0</v>
          </cell>
          <cell r="J186" t="str">
            <v>GUAFITA</v>
          </cell>
          <cell r="K186" t="str">
            <v>CRAVO NORTE</v>
          </cell>
          <cell r="L186" t="str">
            <v>CRAVO NORTE</v>
          </cell>
          <cell r="M186">
            <v>0</v>
          </cell>
        </row>
        <row r="187">
          <cell r="B187" t="str">
            <v>CY-90</v>
          </cell>
          <cell r="C187">
            <v>980.21</v>
          </cell>
          <cell r="D187">
            <v>1040.8499999999999</v>
          </cell>
          <cell r="E187">
            <v>980.21</v>
          </cell>
          <cell r="F187">
            <v>84</v>
          </cell>
          <cell r="G187">
            <v>0.91400000000000003</v>
          </cell>
          <cell r="H187">
            <v>0.91400000000000003</v>
          </cell>
          <cell r="I187">
            <v>0.91400000000000003</v>
          </cell>
          <cell r="J187" t="str">
            <v>K1A2_Upper</v>
          </cell>
          <cell r="K187" t="str">
            <v>CRAVO NORTE</v>
          </cell>
          <cell r="L187" t="str">
            <v>CRAVO NORTE</v>
          </cell>
          <cell r="M187" t="str">
            <v>CRAVO NORTE</v>
          </cell>
        </row>
        <row r="188">
          <cell r="B188" t="str">
            <v>CY-91</v>
          </cell>
          <cell r="C188">
            <v>1932.46</v>
          </cell>
          <cell r="D188">
            <v>2061.63</v>
          </cell>
          <cell r="E188">
            <v>1932.46</v>
          </cell>
          <cell r="F188">
            <v>37</v>
          </cell>
          <cell r="G188">
            <v>0.98080000000000001</v>
          </cell>
          <cell r="H188">
            <v>0.98</v>
          </cell>
          <cell r="I188">
            <v>0.98080000000000001</v>
          </cell>
          <cell r="J188" t="str">
            <v>K1A2_Upper</v>
          </cell>
          <cell r="K188" t="str">
            <v>CRAVO NORTE</v>
          </cell>
          <cell r="L188" t="str">
            <v>CRAVO NORTE</v>
          </cell>
          <cell r="M188" t="str">
            <v>CRAVO NORTE</v>
          </cell>
        </row>
        <row r="189">
          <cell r="B189" t="str">
            <v>CY-92</v>
          </cell>
          <cell r="C189">
            <v>6805.08</v>
          </cell>
          <cell r="D189">
            <v>6779.15</v>
          </cell>
          <cell r="E189">
            <v>6805.08</v>
          </cell>
          <cell r="F189">
            <v>92</v>
          </cell>
          <cell r="G189">
            <v>0.98650000000000004</v>
          </cell>
          <cell r="H189">
            <v>0.98650000000000004</v>
          </cell>
          <cell r="I189">
            <v>0.98650000000000004</v>
          </cell>
          <cell r="J189" t="str">
            <v>K1B1_Upper-K1B1_ower</v>
          </cell>
          <cell r="K189" t="str">
            <v>CRAVO NORTE</v>
          </cell>
          <cell r="L189" t="str">
            <v>CRAVO NORTE</v>
          </cell>
          <cell r="M189" t="str">
            <v>CRAVO NORTE</v>
          </cell>
        </row>
        <row r="190">
          <cell r="B190" t="str">
            <v>CY-94</v>
          </cell>
          <cell r="C190">
            <v>6405.49</v>
          </cell>
          <cell r="D190">
            <v>6310.91</v>
          </cell>
          <cell r="E190">
            <v>6405.49</v>
          </cell>
          <cell r="F190">
            <v>58</v>
          </cell>
          <cell r="G190">
            <v>0.9909</v>
          </cell>
          <cell r="H190">
            <v>0.9909</v>
          </cell>
          <cell r="I190">
            <v>0.9909</v>
          </cell>
          <cell r="J190" t="str">
            <v>M3C1-M4A</v>
          </cell>
          <cell r="K190" t="str">
            <v>CRAVO NORTE</v>
          </cell>
          <cell r="L190" t="str">
            <v>CRAVO NORTE</v>
          </cell>
          <cell r="M190" t="str">
            <v>CRAVO NORTE</v>
          </cell>
        </row>
        <row r="191">
          <cell r="B191" t="str">
            <v>GLO-01</v>
          </cell>
          <cell r="C191">
            <v>2228.54</v>
          </cell>
          <cell r="D191">
            <v>2243</v>
          </cell>
          <cell r="E191">
            <v>2228.54</v>
          </cell>
          <cell r="F191">
            <v>36</v>
          </cell>
          <cell r="G191">
            <v>0.9840000000000001</v>
          </cell>
          <cell r="H191">
            <v>0.98170000000000002</v>
          </cell>
          <cell r="I191">
            <v>0.9840000000000001</v>
          </cell>
          <cell r="J191" t="str">
            <v>C5dA</v>
          </cell>
          <cell r="K191" t="str">
            <v>CHIPIRON</v>
          </cell>
          <cell r="L191" t="str">
            <v>CHIPIRON</v>
          </cell>
          <cell r="M191" t="str">
            <v>CHIPIRON</v>
          </cell>
        </row>
        <row r="192">
          <cell r="B192" t="str">
            <v>JIB-01</v>
          </cell>
          <cell r="C192">
            <v>11042.85</v>
          </cell>
          <cell r="D192">
            <v>11217.31</v>
          </cell>
          <cell r="E192">
            <v>11042.85</v>
          </cell>
          <cell r="F192">
            <v>25</v>
          </cell>
          <cell r="G192">
            <v>0.99769999999999992</v>
          </cell>
          <cell r="H192">
            <v>0.99780000000000002</v>
          </cell>
          <cell r="I192">
            <v>0.99769999999999992</v>
          </cell>
          <cell r="J192" t="str">
            <v>M1A1</v>
          </cell>
          <cell r="K192" t="str">
            <v>CHIPIRON</v>
          </cell>
          <cell r="L192" t="str">
            <v>CHIPIRON</v>
          </cell>
          <cell r="M192" t="str">
            <v>CHIPIRON</v>
          </cell>
        </row>
        <row r="193">
          <cell r="B193" t="str">
            <v>JIB-02A</v>
          </cell>
          <cell r="C193">
            <v>5553.46</v>
          </cell>
          <cell r="D193">
            <v>5672.72</v>
          </cell>
          <cell r="E193">
            <v>5553.46</v>
          </cell>
          <cell r="F193">
            <v>13</v>
          </cell>
          <cell r="G193">
            <v>0.99769999999999992</v>
          </cell>
          <cell r="H193">
            <v>0.99780000000000002</v>
          </cell>
          <cell r="I193">
            <v>0.99769999999999992</v>
          </cell>
          <cell r="J193" t="str">
            <v>M1A1</v>
          </cell>
          <cell r="K193" t="str">
            <v>CHIPIRON</v>
          </cell>
          <cell r="L193" t="str">
            <v>CHIPIRON</v>
          </cell>
          <cell r="M193" t="str">
            <v>CHIPIRON</v>
          </cell>
        </row>
        <row r="194">
          <cell r="B194" t="str">
            <v>JIB-04</v>
          </cell>
          <cell r="C194">
            <v>3600</v>
          </cell>
          <cell r="D194">
            <v>3600</v>
          </cell>
          <cell r="E194">
            <v>0</v>
          </cell>
          <cell r="F194">
            <v>14</v>
          </cell>
          <cell r="G194">
            <v>0.996</v>
          </cell>
          <cell r="H194">
            <v>0.996</v>
          </cell>
          <cell r="I194">
            <v>0</v>
          </cell>
          <cell r="J194" t="str">
            <v>N/A</v>
          </cell>
          <cell r="K194" t="str">
            <v>CHIPIRON</v>
          </cell>
          <cell r="L194" t="str">
            <v>CHIPIRON</v>
          </cell>
          <cell r="M194">
            <v>0</v>
          </cell>
        </row>
        <row r="195">
          <cell r="B195" t="str">
            <v>JIB-05</v>
          </cell>
          <cell r="C195">
            <v>18707.96</v>
          </cell>
          <cell r="D195">
            <v>18707.96</v>
          </cell>
          <cell r="E195">
            <v>0</v>
          </cell>
          <cell r="F195">
            <v>56</v>
          </cell>
          <cell r="G195">
            <v>0.997</v>
          </cell>
          <cell r="H195">
            <v>0.997</v>
          </cell>
          <cell r="I195">
            <v>0</v>
          </cell>
          <cell r="J195" t="str">
            <v>M1A1-M1A2</v>
          </cell>
          <cell r="K195" t="str">
            <v>CHIPIRON</v>
          </cell>
          <cell r="L195" t="str">
            <v>CHIPIRON</v>
          </cell>
          <cell r="M195">
            <v>0</v>
          </cell>
        </row>
        <row r="196">
          <cell r="B196" t="str">
            <v>JIB-06</v>
          </cell>
          <cell r="C196">
            <v>3203.08</v>
          </cell>
          <cell r="D196">
            <v>3203.08</v>
          </cell>
          <cell r="E196">
            <v>0</v>
          </cell>
          <cell r="F196">
            <v>29</v>
          </cell>
          <cell r="G196">
            <v>0.9909</v>
          </cell>
          <cell r="H196">
            <v>0.9909</v>
          </cell>
          <cell r="I196">
            <v>0</v>
          </cell>
          <cell r="J196" t="str">
            <v>M1B</v>
          </cell>
          <cell r="K196" t="str">
            <v>CHIPIRON</v>
          </cell>
          <cell r="L196" t="str">
            <v>CHIPIRON</v>
          </cell>
          <cell r="M196">
            <v>0</v>
          </cell>
        </row>
        <row r="197">
          <cell r="B197" t="str">
            <v>JIB-10</v>
          </cell>
          <cell r="C197">
            <v>9575.7999999999993</v>
          </cell>
          <cell r="D197">
            <v>9700.51</v>
          </cell>
          <cell r="E197">
            <v>9575.7999999999993</v>
          </cell>
          <cell r="F197">
            <v>55</v>
          </cell>
          <cell r="G197">
            <v>0.99430000000000007</v>
          </cell>
          <cell r="H197">
            <v>0.99430000000000007</v>
          </cell>
          <cell r="I197">
            <v>0.99430000000000007</v>
          </cell>
          <cell r="J197" t="str">
            <v>M1A1</v>
          </cell>
          <cell r="K197" t="str">
            <v>CHIPIRON</v>
          </cell>
          <cell r="L197" t="str">
            <v>CHIPIRON</v>
          </cell>
          <cell r="M197" t="str">
            <v>CHIPIRON</v>
          </cell>
        </row>
        <row r="198">
          <cell r="B198" t="str">
            <v>JIB-14</v>
          </cell>
          <cell r="C198">
            <v>6000</v>
          </cell>
          <cell r="D198">
            <v>6000</v>
          </cell>
          <cell r="E198">
            <v>0</v>
          </cell>
          <cell r="F198">
            <v>61</v>
          </cell>
          <cell r="G198">
            <v>0.9899</v>
          </cell>
          <cell r="H198">
            <v>0.9899</v>
          </cell>
          <cell r="I198">
            <v>0</v>
          </cell>
          <cell r="J198" t="str">
            <v>M1A2</v>
          </cell>
          <cell r="K198" t="str">
            <v>CHIPIRON</v>
          </cell>
          <cell r="L198" t="str">
            <v>CHIPIRON</v>
          </cell>
          <cell r="M198">
            <v>0</v>
          </cell>
        </row>
        <row r="199">
          <cell r="B199" t="str">
            <v>JIB-19</v>
          </cell>
          <cell r="C199">
            <v>1821.92</v>
          </cell>
          <cell r="D199">
            <v>1848.33</v>
          </cell>
          <cell r="E199">
            <v>1821.92</v>
          </cell>
          <cell r="F199">
            <v>17</v>
          </cell>
          <cell r="G199">
            <v>0.99049999999999994</v>
          </cell>
          <cell r="H199">
            <v>0.99250000000000005</v>
          </cell>
          <cell r="I199">
            <v>0.99049999999999994</v>
          </cell>
          <cell r="J199" t="str">
            <v>M1A2</v>
          </cell>
          <cell r="K199" t="str">
            <v>CHIPIRON</v>
          </cell>
          <cell r="L199" t="str">
            <v>CHIPIRON</v>
          </cell>
          <cell r="M199" t="str">
            <v>CHIPIRON</v>
          </cell>
        </row>
        <row r="200">
          <cell r="B200" t="str">
            <v>LY-001</v>
          </cell>
          <cell r="C200">
            <v>1334.15</v>
          </cell>
          <cell r="D200">
            <v>1344.55</v>
          </cell>
          <cell r="E200">
            <v>1334.15</v>
          </cell>
          <cell r="F200">
            <v>37</v>
          </cell>
          <cell r="G200">
            <v>0.97239999999999993</v>
          </cell>
          <cell r="H200">
            <v>0.98499999999999999</v>
          </cell>
          <cell r="I200">
            <v>0.97239999999999993</v>
          </cell>
          <cell r="J200" t="str">
            <v>M1A2</v>
          </cell>
          <cell r="K200" t="str">
            <v>CRAVO NORTE</v>
          </cell>
          <cell r="L200" t="str">
            <v>CRAVO NORTE</v>
          </cell>
          <cell r="M200" t="str">
            <v>CRAVO NORTE</v>
          </cell>
        </row>
        <row r="201">
          <cell r="B201" t="str">
            <v>LY-006</v>
          </cell>
          <cell r="C201">
            <v>15160</v>
          </cell>
          <cell r="D201">
            <v>15160</v>
          </cell>
          <cell r="E201">
            <v>0</v>
          </cell>
          <cell r="F201">
            <v>59</v>
          </cell>
          <cell r="G201">
            <v>0.99609999999999999</v>
          </cell>
          <cell r="H201">
            <v>0.99609999999999999</v>
          </cell>
          <cell r="I201">
            <v>0</v>
          </cell>
          <cell r="J201" t="str">
            <v>M3A-M2B-M2A0-GUAFITA</v>
          </cell>
          <cell r="K201" t="str">
            <v>CRAVO NORTE</v>
          </cell>
          <cell r="L201" t="str">
            <v>CRAVO NORTE</v>
          </cell>
          <cell r="M201">
            <v>0</v>
          </cell>
        </row>
        <row r="202">
          <cell r="B202" t="str">
            <v>LY-007</v>
          </cell>
          <cell r="C202">
            <v>28366.52</v>
          </cell>
          <cell r="D202">
            <v>29469.03</v>
          </cell>
          <cell r="E202">
            <v>28366.52</v>
          </cell>
          <cell r="F202">
            <v>108</v>
          </cell>
          <cell r="G202">
            <v>0.99620000000000009</v>
          </cell>
          <cell r="H202">
            <v>0.99629999999999996</v>
          </cell>
          <cell r="I202">
            <v>0.99620000000000009</v>
          </cell>
          <cell r="J202" t="str">
            <v>M3C-M1C1-M1A1-M1C2-M3B-M3A-M1A2-M1B-M2A0-M3C1-M2A1</v>
          </cell>
          <cell r="K202" t="str">
            <v>CRAVO NORTE</v>
          </cell>
          <cell r="L202" t="str">
            <v>CRAVO NORTE</v>
          </cell>
          <cell r="M202" t="str">
            <v>CRAVO NORTE</v>
          </cell>
        </row>
        <row r="203">
          <cell r="B203" t="str">
            <v>LY-008</v>
          </cell>
          <cell r="C203">
            <v>550</v>
          </cell>
          <cell r="D203">
            <v>1034.5999999999999</v>
          </cell>
          <cell r="E203">
            <v>550</v>
          </cell>
          <cell r="F203">
            <v>18</v>
          </cell>
          <cell r="G203">
            <v>0.96700000000000008</v>
          </cell>
          <cell r="H203">
            <v>0.95</v>
          </cell>
          <cell r="I203">
            <v>0.96700000000000008</v>
          </cell>
          <cell r="J203" t="str">
            <v>C5dB</v>
          </cell>
          <cell r="K203" t="str">
            <v>CRAVO NORTE</v>
          </cell>
          <cell r="L203" t="str">
            <v>CRAVO NORTE</v>
          </cell>
          <cell r="M203" t="str">
            <v>CRAVO NORTE</v>
          </cell>
        </row>
        <row r="204">
          <cell r="B204" t="str">
            <v>LY-012</v>
          </cell>
          <cell r="C204">
            <v>20138.2</v>
          </cell>
          <cell r="D204">
            <v>20805.68</v>
          </cell>
          <cell r="E204">
            <v>20138.2</v>
          </cell>
          <cell r="F204">
            <v>77</v>
          </cell>
          <cell r="G204">
            <v>0.99620000000000009</v>
          </cell>
          <cell r="H204">
            <v>0.99620000000000009</v>
          </cell>
          <cell r="I204">
            <v>0.99620000000000009</v>
          </cell>
          <cell r="J204" t="str">
            <v>GUAFITA-M2A1-M2B-M3A-M1C1-M2A0</v>
          </cell>
          <cell r="K204" t="str">
            <v>CRAVO NORTE</v>
          </cell>
          <cell r="L204" t="str">
            <v>CRAVO NORTE</v>
          </cell>
          <cell r="M204" t="str">
            <v>CRAVO NORTE</v>
          </cell>
        </row>
        <row r="205">
          <cell r="B205" t="str">
            <v>LY-014</v>
          </cell>
          <cell r="C205">
            <v>70</v>
          </cell>
          <cell r="D205">
            <v>75</v>
          </cell>
          <cell r="E205">
            <v>70</v>
          </cell>
          <cell r="F205">
            <v>27</v>
          </cell>
          <cell r="G205">
            <v>0.61499999999999999</v>
          </cell>
          <cell r="H205">
            <v>0.61499999999999999</v>
          </cell>
          <cell r="I205">
            <v>0.61499999999999999</v>
          </cell>
          <cell r="J205" t="str">
            <v>C5dA</v>
          </cell>
          <cell r="K205" t="str">
            <v>CRAVO NORTE</v>
          </cell>
          <cell r="L205" t="str">
            <v>CRAVO NORTE</v>
          </cell>
          <cell r="M205" t="str">
            <v>CRAVO NORTE</v>
          </cell>
        </row>
        <row r="206">
          <cell r="B206" t="str">
            <v>LY-015</v>
          </cell>
          <cell r="C206">
            <v>2530</v>
          </cell>
          <cell r="D206">
            <v>2530</v>
          </cell>
          <cell r="E206">
            <v>2530</v>
          </cell>
          <cell r="F206">
            <v>76</v>
          </cell>
          <cell r="G206">
            <v>0.97</v>
          </cell>
          <cell r="H206">
            <v>0.97</v>
          </cell>
          <cell r="I206">
            <v>0.9890000000000001</v>
          </cell>
          <cell r="J206" t="str">
            <v>N/A</v>
          </cell>
          <cell r="K206" t="str">
            <v>CRAVO NORTE</v>
          </cell>
          <cell r="L206" t="str">
            <v>CRAVO NORTE</v>
          </cell>
          <cell r="M206" t="str">
            <v>CRAVO NORTE</v>
          </cell>
        </row>
        <row r="207">
          <cell r="B207" t="str">
            <v>LY-019</v>
          </cell>
          <cell r="C207">
            <v>246.65</v>
          </cell>
          <cell r="D207">
            <v>269.83</v>
          </cell>
          <cell r="E207">
            <v>246.65</v>
          </cell>
          <cell r="F207">
            <v>107</v>
          </cell>
          <cell r="G207">
            <v>0.56729999999999992</v>
          </cell>
          <cell r="H207">
            <v>0.55899999999999994</v>
          </cell>
          <cell r="I207">
            <v>0.56729999999999992</v>
          </cell>
          <cell r="J207" t="str">
            <v>C5a</v>
          </cell>
          <cell r="K207" t="str">
            <v>CRAVO NORTE</v>
          </cell>
          <cell r="L207" t="str">
            <v>CRAVO NORTE</v>
          </cell>
          <cell r="M207" t="str">
            <v>CRAVO NORTE</v>
          </cell>
        </row>
        <row r="208">
          <cell r="B208" t="str">
            <v>LY-020</v>
          </cell>
          <cell r="C208">
            <v>21423.72</v>
          </cell>
          <cell r="D208">
            <v>21950</v>
          </cell>
          <cell r="E208">
            <v>21423.72</v>
          </cell>
          <cell r="F208">
            <v>36</v>
          </cell>
          <cell r="G208">
            <v>0.99829999999999997</v>
          </cell>
          <cell r="H208">
            <v>0.99829999999999997</v>
          </cell>
          <cell r="I208">
            <v>0.99829999999999997</v>
          </cell>
          <cell r="J208" t="str">
            <v>M1A1</v>
          </cell>
          <cell r="K208" t="str">
            <v>CRAVO NORTE</v>
          </cell>
          <cell r="L208" t="str">
            <v>CRAVO NORTE</v>
          </cell>
          <cell r="M208" t="str">
            <v>CRAVO NORTE</v>
          </cell>
        </row>
        <row r="209">
          <cell r="B209" t="str">
            <v>LY-021</v>
          </cell>
          <cell r="C209">
            <v>90</v>
          </cell>
          <cell r="D209">
            <v>90</v>
          </cell>
          <cell r="E209">
            <v>90</v>
          </cell>
          <cell r="F209">
            <v>22</v>
          </cell>
          <cell r="G209">
            <v>0.75099999999999989</v>
          </cell>
          <cell r="H209">
            <v>0.71</v>
          </cell>
          <cell r="I209">
            <v>0.75099999999999989</v>
          </cell>
          <cell r="J209" t="str">
            <v>N/A</v>
          </cell>
          <cell r="K209" t="str">
            <v>CRAVO NORTE</v>
          </cell>
          <cell r="L209" t="str">
            <v>CRAVO NORTE</v>
          </cell>
          <cell r="M209" t="str">
            <v>CRAVO NORTE</v>
          </cell>
        </row>
        <row r="210">
          <cell r="B210" t="str">
            <v>LY-027</v>
          </cell>
          <cell r="C210">
            <v>4712.21</v>
          </cell>
          <cell r="D210">
            <v>5163.25</v>
          </cell>
          <cell r="E210">
            <v>4712.21</v>
          </cell>
          <cell r="F210">
            <v>43</v>
          </cell>
          <cell r="G210">
            <v>0.9909</v>
          </cell>
          <cell r="H210">
            <v>0.9889</v>
          </cell>
          <cell r="I210">
            <v>0.9909</v>
          </cell>
          <cell r="J210" t="str">
            <v>M1A1</v>
          </cell>
          <cell r="K210" t="str">
            <v>CRAVO NORTE</v>
          </cell>
          <cell r="L210" t="str">
            <v>CRAVO NORTE</v>
          </cell>
          <cell r="M210" t="str">
            <v>CRAVO NORTE</v>
          </cell>
        </row>
        <row r="211">
          <cell r="B211" t="str">
            <v>LY-028</v>
          </cell>
          <cell r="C211">
            <v>795</v>
          </cell>
          <cell r="D211">
            <v>800</v>
          </cell>
          <cell r="E211">
            <v>795</v>
          </cell>
          <cell r="F211">
            <v>81</v>
          </cell>
          <cell r="G211">
            <v>0.89760000000000006</v>
          </cell>
          <cell r="H211">
            <v>0.86</v>
          </cell>
          <cell r="I211">
            <v>0.89760000000000006</v>
          </cell>
          <cell r="J211" t="str">
            <v>C5a-C5b</v>
          </cell>
          <cell r="K211" t="str">
            <v>CRAVO NORTE</v>
          </cell>
          <cell r="L211" t="str">
            <v>CRAVO NORTE</v>
          </cell>
          <cell r="M211" t="str">
            <v>CRAVO NORTE</v>
          </cell>
        </row>
        <row r="212">
          <cell r="B212" t="str">
            <v>LY-030</v>
          </cell>
          <cell r="C212">
            <v>28700.79</v>
          </cell>
          <cell r="D212">
            <v>31000</v>
          </cell>
          <cell r="E212">
            <v>28700.79</v>
          </cell>
          <cell r="F212">
            <v>66</v>
          </cell>
          <cell r="G212">
            <v>0.99769999999999992</v>
          </cell>
          <cell r="H212">
            <v>0.99769999999999992</v>
          </cell>
          <cell r="I212">
            <v>0.99769999999999992</v>
          </cell>
          <cell r="J212" t="str">
            <v>M1A1</v>
          </cell>
          <cell r="K212" t="str">
            <v>CRAVO NORTE</v>
          </cell>
          <cell r="L212" t="str">
            <v>CRAVO NORTE</v>
          </cell>
          <cell r="M212" t="str">
            <v>CRAVO NORTE</v>
          </cell>
        </row>
        <row r="213">
          <cell r="B213" t="str">
            <v>LY-031</v>
          </cell>
          <cell r="C213">
            <v>300</v>
          </cell>
          <cell r="D213">
            <v>300</v>
          </cell>
          <cell r="E213">
            <v>0</v>
          </cell>
          <cell r="F213">
            <v>6</v>
          </cell>
          <cell r="G213">
            <v>0.98150000000000004</v>
          </cell>
          <cell r="H213">
            <v>0.98150000000000004</v>
          </cell>
          <cell r="I213">
            <v>0</v>
          </cell>
          <cell r="J213" t="str">
            <v>N/A</v>
          </cell>
          <cell r="K213" t="str">
            <v>CRAVO NORTE</v>
          </cell>
          <cell r="L213" t="str">
            <v>CRAVO NORTE</v>
          </cell>
          <cell r="M213">
            <v>0</v>
          </cell>
        </row>
        <row r="214">
          <cell r="B214" t="str">
            <v>LY-032</v>
          </cell>
          <cell r="C214">
            <v>16802.55</v>
          </cell>
          <cell r="D214">
            <v>17660</v>
          </cell>
          <cell r="E214">
            <v>16802.55</v>
          </cell>
          <cell r="F214">
            <v>97</v>
          </cell>
          <cell r="G214">
            <v>0.99419999999999997</v>
          </cell>
          <cell r="H214">
            <v>0.99309999999999998</v>
          </cell>
          <cell r="I214">
            <v>0.99419999999999997</v>
          </cell>
          <cell r="J214" t="str">
            <v>M1A1</v>
          </cell>
          <cell r="K214" t="str">
            <v>CRAVO NORTE</v>
          </cell>
          <cell r="L214" t="str">
            <v>CRAVO NORTE</v>
          </cell>
          <cell r="M214" t="str">
            <v>CRAVO NORTE</v>
          </cell>
        </row>
        <row r="215">
          <cell r="B215" t="str">
            <v>LY-035</v>
          </cell>
          <cell r="C215">
            <v>2066.0700000000002</v>
          </cell>
          <cell r="D215">
            <v>2159.84</v>
          </cell>
          <cell r="E215">
            <v>2066.0700000000002</v>
          </cell>
          <cell r="F215">
            <v>41</v>
          </cell>
          <cell r="G215">
            <v>0.98</v>
          </cell>
          <cell r="H215">
            <v>0.98</v>
          </cell>
          <cell r="I215">
            <v>0.98</v>
          </cell>
          <cell r="J215" t="str">
            <v>M1A2</v>
          </cell>
          <cell r="K215" t="str">
            <v>CRAVO NORTE</v>
          </cell>
          <cell r="L215" t="str">
            <v>CRAVO NORTE</v>
          </cell>
          <cell r="M215" t="str">
            <v>CRAVO NORTE</v>
          </cell>
        </row>
        <row r="216">
          <cell r="B216" t="str">
            <v>LY-039</v>
          </cell>
          <cell r="C216">
            <v>2032.53</v>
          </cell>
          <cell r="D216">
            <v>2084.87</v>
          </cell>
          <cell r="E216">
            <v>2032.53</v>
          </cell>
          <cell r="F216">
            <v>113</v>
          </cell>
          <cell r="G216">
            <v>0.94440000000000002</v>
          </cell>
          <cell r="H216">
            <v>0.94400000000000006</v>
          </cell>
          <cell r="I216">
            <v>0.94440000000000002</v>
          </cell>
          <cell r="J216" t="str">
            <v>K1C2-K1B2_ower-K1C1_ower-K1B1_Upper</v>
          </cell>
          <cell r="K216" t="str">
            <v>CRAVO NORTE</v>
          </cell>
          <cell r="L216" t="str">
            <v>CRAVO NORTE</v>
          </cell>
          <cell r="M216" t="str">
            <v>CRAVO NORTE</v>
          </cell>
        </row>
        <row r="217">
          <cell r="B217" t="str">
            <v>LY-040</v>
          </cell>
          <cell r="C217">
            <v>17956.72</v>
          </cell>
          <cell r="D217">
            <v>18652.55</v>
          </cell>
          <cell r="E217">
            <v>17956.72</v>
          </cell>
          <cell r="F217">
            <v>54</v>
          </cell>
          <cell r="G217">
            <v>0.997</v>
          </cell>
          <cell r="H217">
            <v>0.997</v>
          </cell>
          <cell r="I217">
            <v>0.997</v>
          </cell>
          <cell r="J217" t="str">
            <v>M1A1</v>
          </cell>
          <cell r="K217" t="str">
            <v>CRAVO NORTE</v>
          </cell>
          <cell r="L217" t="str">
            <v>CRAVO NORTE</v>
          </cell>
          <cell r="M217" t="str">
            <v>CRAVO NORTE</v>
          </cell>
        </row>
        <row r="218">
          <cell r="B218" t="str">
            <v>LY-044</v>
          </cell>
          <cell r="C218">
            <v>16498.900000000001</v>
          </cell>
          <cell r="D218">
            <v>18009.57</v>
          </cell>
          <cell r="E218">
            <v>16498.900000000001</v>
          </cell>
          <cell r="F218">
            <v>53</v>
          </cell>
          <cell r="G218">
            <v>0.99680000000000002</v>
          </cell>
          <cell r="H218">
            <v>0.99659999999999993</v>
          </cell>
          <cell r="I218">
            <v>0.99680000000000002</v>
          </cell>
          <cell r="J218" t="str">
            <v>M2B</v>
          </cell>
          <cell r="K218" t="str">
            <v>CRAVO NORTE</v>
          </cell>
          <cell r="L218" t="str">
            <v>CRAVO NORTE</v>
          </cell>
          <cell r="M218" t="str">
            <v>CRAVO NORTE</v>
          </cell>
        </row>
        <row r="219">
          <cell r="B219" t="str">
            <v>LY-045</v>
          </cell>
          <cell r="C219">
            <v>1422.78</v>
          </cell>
          <cell r="D219">
            <v>1533.52</v>
          </cell>
          <cell r="E219">
            <v>1422.78</v>
          </cell>
          <cell r="F219">
            <v>28</v>
          </cell>
          <cell r="G219">
            <v>0.98049999999999993</v>
          </cell>
          <cell r="H219">
            <v>0.98049999999999993</v>
          </cell>
          <cell r="I219">
            <v>0.98049999999999993</v>
          </cell>
          <cell r="J219" t="str">
            <v>C5c</v>
          </cell>
          <cell r="K219" t="str">
            <v>CRAVO NORTE</v>
          </cell>
          <cell r="L219" t="str">
            <v>CRAVO NORTE</v>
          </cell>
          <cell r="M219" t="str">
            <v>CRAVO NORTE</v>
          </cell>
        </row>
        <row r="220">
          <cell r="B220" t="str">
            <v>LY-047</v>
          </cell>
          <cell r="C220">
            <v>545</v>
          </cell>
          <cell r="D220">
            <v>470</v>
          </cell>
          <cell r="E220">
            <v>545</v>
          </cell>
          <cell r="F220">
            <v>112</v>
          </cell>
          <cell r="G220">
            <v>0.7944</v>
          </cell>
          <cell r="H220">
            <v>0.77410000000000001</v>
          </cell>
          <cell r="I220">
            <v>0.7944</v>
          </cell>
          <cell r="J220" t="str">
            <v>C5dA</v>
          </cell>
          <cell r="K220" t="str">
            <v>CRAVO NORTE</v>
          </cell>
          <cell r="L220" t="str">
            <v>CRAVO NORTE</v>
          </cell>
          <cell r="M220" t="str">
            <v>CRAVO NORTE</v>
          </cell>
        </row>
        <row r="221">
          <cell r="B221" t="str">
            <v>LY-047</v>
          </cell>
          <cell r="C221">
            <v>545</v>
          </cell>
          <cell r="D221">
            <v>470</v>
          </cell>
          <cell r="E221">
            <v>545</v>
          </cell>
          <cell r="F221">
            <v>112</v>
          </cell>
          <cell r="G221">
            <v>0.7944</v>
          </cell>
          <cell r="H221">
            <v>0.77410000000000001</v>
          </cell>
          <cell r="I221">
            <v>0.7944</v>
          </cell>
          <cell r="J221" t="str">
            <v>C5dA</v>
          </cell>
          <cell r="K221" t="str">
            <v>CRAVO NORTE</v>
          </cell>
          <cell r="L221" t="str">
            <v>CRAVO NORTE</v>
          </cell>
          <cell r="M221" t="str">
            <v>CRAVO NORTE</v>
          </cell>
        </row>
        <row r="222">
          <cell r="B222" t="str">
            <v>LY-048</v>
          </cell>
          <cell r="C222">
            <v>956.89</v>
          </cell>
          <cell r="D222">
            <v>968.21</v>
          </cell>
          <cell r="E222">
            <v>956.89</v>
          </cell>
          <cell r="F222">
            <v>14</v>
          </cell>
          <cell r="G222">
            <v>0.98499999999999999</v>
          </cell>
          <cell r="H222">
            <v>0.98499999999999999</v>
          </cell>
          <cell r="I222">
            <v>0.98499999999999999</v>
          </cell>
          <cell r="J222" t="str">
            <v>C5dA</v>
          </cell>
          <cell r="K222" t="str">
            <v>CRAVO NORTE</v>
          </cell>
          <cell r="L222" t="str">
            <v>CRAVO NORTE</v>
          </cell>
          <cell r="M222" t="str">
            <v>CRAVO NORTE</v>
          </cell>
        </row>
        <row r="223">
          <cell r="B223" t="str">
            <v>LY-052</v>
          </cell>
          <cell r="C223">
            <v>10</v>
          </cell>
          <cell r="D223">
            <v>10</v>
          </cell>
          <cell r="E223">
            <v>0</v>
          </cell>
          <cell r="F223">
            <v>10</v>
          </cell>
          <cell r="G223">
            <v>0</v>
          </cell>
          <cell r="H223">
            <v>0</v>
          </cell>
          <cell r="I223">
            <v>0</v>
          </cell>
          <cell r="J223" t="str">
            <v>N/A</v>
          </cell>
          <cell r="K223" t="str">
            <v>CRAVO NORTE</v>
          </cell>
          <cell r="L223" t="str">
            <v>CRAVO NORTE</v>
          </cell>
          <cell r="M223">
            <v>0</v>
          </cell>
        </row>
        <row r="224">
          <cell r="B224" t="str">
            <v>LY-055</v>
          </cell>
          <cell r="C224">
            <v>1782.5</v>
          </cell>
          <cell r="D224">
            <v>2042.07</v>
          </cell>
          <cell r="E224">
            <v>1782.5</v>
          </cell>
          <cell r="F224">
            <v>14</v>
          </cell>
          <cell r="G224">
            <v>0.99209999999999998</v>
          </cell>
          <cell r="H224">
            <v>0.99209999999999998</v>
          </cell>
          <cell r="I224">
            <v>0.99209999999999998</v>
          </cell>
          <cell r="J224" t="str">
            <v>M1A2</v>
          </cell>
          <cell r="K224" t="str">
            <v>CRAVO NORTE</v>
          </cell>
          <cell r="L224" t="str">
            <v>CRAVO NORTE</v>
          </cell>
          <cell r="M224" t="str">
            <v>CRAVO NORTE</v>
          </cell>
        </row>
        <row r="225">
          <cell r="B225" t="str">
            <v>LY-058</v>
          </cell>
          <cell r="C225">
            <v>12410.34</v>
          </cell>
          <cell r="D225">
            <v>12031.54</v>
          </cell>
          <cell r="E225">
            <v>12410.34</v>
          </cell>
          <cell r="F225">
            <v>94</v>
          </cell>
          <cell r="G225">
            <v>0.99239999999999995</v>
          </cell>
          <cell r="H225">
            <v>0.99230000000000007</v>
          </cell>
          <cell r="I225">
            <v>0.99239999999999995</v>
          </cell>
          <cell r="J225" t="str">
            <v>C5c</v>
          </cell>
          <cell r="K225" t="str">
            <v>CRAVO NORTE</v>
          </cell>
          <cell r="L225" t="str">
            <v>CRAVO NORTE</v>
          </cell>
          <cell r="M225" t="str">
            <v>CRAVO NORTE</v>
          </cell>
        </row>
        <row r="226">
          <cell r="B226" t="str">
            <v>LY-059</v>
          </cell>
          <cell r="C226">
            <v>1248.6300000000001</v>
          </cell>
          <cell r="D226">
            <v>1304.08</v>
          </cell>
          <cell r="E226">
            <v>1248.6300000000001</v>
          </cell>
          <cell r="F226">
            <v>44</v>
          </cell>
          <cell r="G226">
            <v>0.96499999999999997</v>
          </cell>
          <cell r="H226">
            <v>0.96499999999999997</v>
          </cell>
          <cell r="I226">
            <v>0.96499999999999997</v>
          </cell>
          <cell r="J226" t="str">
            <v>C5b</v>
          </cell>
          <cell r="K226" t="str">
            <v>CRAVO NORTE</v>
          </cell>
          <cell r="L226" t="str">
            <v>CRAVO NORTE</v>
          </cell>
          <cell r="M226" t="str">
            <v>CRAVO NORTE</v>
          </cell>
        </row>
        <row r="227">
          <cell r="B227" t="str">
            <v>LY-062</v>
          </cell>
          <cell r="C227">
            <v>1600</v>
          </cell>
          <cell r="D227">
            <v>8600</v>
          </cell>
          <cell r="E227">
            <v>1600</v>
          </cell>
          <cell r="F227">
            <v>43</v>
          </cell>
          <cell r="G227">
            <v>0.97299999999999998</v>
          </cell>
          <cell r="H227">
            <v>0.99299999999999999</v>
          </cell>
          <cell r="I227">
            <v>0.97299999999999998</v>
          </cell>
          <cell r="J227" t="str">
            <v>N/A</v>
          </cell>
          <cell r="K227" t="str">
            <v>CRAVO NORTE</v>
          </cell>
          <cell r="L227" t="str">
            <v>CRAVO NORTE</v>
          </cell>
          <cell r="M227" t="str">
            <v>CRAVO NORTE</v>
          </cell>
        </row>
        <row r="228">
          <cell r="B228" t="str">
            <v>LY-064</v>
          </cell>
          <cell r="C228">
            <v>12075.52</v>
          </cell>
          <cell r="D228">
            <v>12643.1</v>
          </cell>
          <cell r="E228">
            <v>12075.52</v>
          </cell>
          <cell r="F228">
            <v>48</v>
          </cell>
          <cell r="G228">
            <v>0.996</v>
          </cell>
          <cell r="H228">
            <v>0.996</v>
          </cell>
          <cell r="I228">
            <v>0.996</v>
          </cell>
          <cell r="J228" t="str">
            <v>M4</v>
          </cell>
          <cell r="K228" t="str">
            <v>CRAVO NORTE</v>
          </cell>
          <cell r="L228" t="str">
            <v>CRAVO NORTE</v>
          </cell>
          <cell r="M228" t="str">
            <v>CRAVO NORTE</v>
          </cell>
        </row>
        <row r="229">
          <cell r="B229" t="str">
            <v>LY-065</v>
          </cell>
          <cell r="C229">
            <v>1080</v>
          </cell>
          <cell r="D229">
            <v>1080</v>
          </cell>
          <cell r="E229">
            <v>0</v>
          </cell>
          <cell r="F229">
            <v>49</v>
          </cell>
          <cell r="G229">
            <v>0.95499999999999996</v>
          </cell>
          <cell r="H229">
            <v>0.95499999999999996</v>
          </cell>
          <cell r="I229">
            <v>0</v>
          </cell>
          <cell r="J229" t="str">
            <v>M1A1</v>
          </cell>
          <cell r="K229" t="str">
            <v>CRAVO NORTE</v>
          </cell>
          <cell r="L229" t="str">
            <v>CRAVO NORTE</v>
          </cell>
          <cell r="M229">
            <v>0</v>
          </cell>
        </row>
        <row r="230">
          <cell r="B230" t="str">
            <v>LY-066</v>
          </cell>
          <cell r="C230">
            <v>2500.11</v>
          </cell>
          <cell r="D230">
            <v>2525.59</v>
          </cell>
          <cell r="E230">
            <v>2500.11</v>
          </cell>
          <cell r="F230">
            <v>50</v>
          </cell>
          <cell r="G230">
            <v>0.98</v>
          </cell>
          <cell r="H230">
            <v>0.97599999999999998</v>
          </cell>
          <cell r="I230">
            <v>0.98</v>
          </cell>
          <cell r="J230" t="str">
            <v>M1A2</v>
          </cell>
          <cell r="K230" t="str">
            <v>CRAVO NORTE</v>
          </cell>
          <cell r="L230" t="str">
            <v>CRAVO NORTE</v>
          </cell>
          <cell r="M230" t="str">
            <v>CRAVO NORTE</v>
          </cell>
        </row>
        <row r="231">
          <cell r="B231" t="str">
            <v>LY-067</v>
          </cell>
          <cell r="C231">
            <v>788</v>
          </cell>
          <cell r="D231">
            <v>750</v>
          </cell>
          <cell r="E231">
            <v>788</v>
          </cell>
          <cell r="F231">
            <v>63</v>
          </cell>
          <cell r="G231">
            <v>0.92</v>
          </cell>
          <cell r="H231">
            <v>0.91599999999999993</v>
          </cell>
          <cell r="I231">
            <v>0.92</v>
          </cell>
          <cell r="J231" t="str">
            <v>C5a</v>
          </cell>
          <cell r="K231" t="str">
            <v>CRAVO NORTE</v>
          </cell>
          <cell r="L231" t="str">
            <v>CRAVO NORTE</v>
          </cell>
          <cell r="M231" t="str">
            <v>CRAVO NORTE</v>
          </cell>
        </row>
        <row r="232">
          <cell r="B232" t="str">
            <v>LY-068</v>
          </cell>
          <cell r="C232">
            <v>20589.43</v>
          </cell>
          <cell r="D232">
            <v>12305.66</v>
          </cell>
          <cell r="E232">
            <v>20589.43</v>
          </cell>
          <cell r="F232">
            <v>82</v>
          </cell>
          <cell r="G232">
            <v>0.996</v>
          </cell>
          <cell r="H232">
            <v>0.99650000000000005</v>
          </cell>
          <cell r="I232">
            <v>0.996</v>
          </cell>
          <cell r="J232" t="str">
            <v>M1A1</v>
          </cell>
          <cell r="K232" t="str">
            <v>CRAVO NORTE</v>
          </cell>
          <cell r="L232" t="str">
            <v>CRAVO NORTE</v>
          </cell>
          <cell r="M232" t="str">
            <v>CRAVO NORTE</v>
          </cell>
        </row>
        <row r="233">
          <cell r="B233" t="str">
            <v>LY-070</v>
          </cell>
          <cell r="C233">
            <v>2588.1799999999998</v>
          </cell>
          <cell r="D233">
            <v>2669.13</v>
          </cell>
          <cell r="E233">
            <v>2588.1799999999998</v>
          </cell>
          <cell r="F233">
            <v>17</v>
          </cell>
          <cell r="G233">
            <v>0.99329999999999996</v>
          </cell>
          <cell r="H233">
            <v>0.99319999999999997</v>
          </cell>
          <cell r="I233">
            <v>0.99329999999999996</v>
          </cell>
          <cell r="J233" t="str">
            <v>M2A1</v>
          </cell>
          <cell r="K233" t="str">
            <v>CRAVO NORTE</v>
          </cell>
          <cell r="L233" t="str">
            <v>CRAVO NORTE</v>
          </cell>
          <cell r="M233" t="str">
            <v>CRAVO NORTE</v>
          </cell>
        </row>
        <row r="234">
          <cell r="B234" t="str">
            <v>LY-074</v>
          </cell>
          <cell r="C234">
            <v>250</v>
          </cell>
          <cell r="D234">
            <v>6849.27</v>
          </cell>
          <cell r="E234">
            <v>250</v>
          </cell>
          <cell r="F234">
            <v>0</v>
          </cell>
          <cell r="G234">
            <v>1</v>
          </cell>
          <cell r="H234">
            <v>0.99540000000000006</v>
          </cell>
          <cell r="I234">
            <v>1</v>
          </cell>
          <cell r="J234" t="str">
            <v>N/A</v>
          </cell>
          <cell r="K234" t="str">
            <v>CRAVO NORTE</v>
          </cell>
          <cell r="L234" t="str">
            <v>CRAVO NORTE</v>
          </cell>
          <cell r="M234" t="str">
            <v>CRAVO NORTE</v>
          </cell>
        </row>
        <row r="235">
          <cell r="B235" t="str">
            <v>LY-075</v>
          </cell>
          <cell r="C235">
            <v>5249.88</v>
          </cell>
          <cell r="D235">
            <v>5303</v>
          </cell>
          <cell r="E235">
            <v>5249.88</v>
          </cell>
          <cell r="F235">
            <v>17</v>
          </cell>
          <cell r="G235">
            <v>0.99680000000000002</v>
          </cell>
          <cell r="H235">
            <v>0.99</v>
          </cell>
          <cell r="I235">
            <v>0.99680000000000002</v>
          </cell>
          <cell r="J235" t="str">
            <v>K1B2_Upper</v>
          </cell>
          <cell r="K235" t="str">
            <v>CRAVO NORTE</v>
          </cell>
          <cell r="L235" t="str">
            <v>CRAVO NORTE</v>
          </cell>
          <cell r="M235" t="str">
            <v>CRAVO NORTE</v>
          </cell>
        </row>
        <row r="236">
          <cell r="B236" t="str">
            <v>LY-076</v>
          </cell>
          <cell r="C236">
            <v>9359.73</v>
          </cell>
          <cell r="D236">
            <v>4350</v>
          </cell>
          <cell r="E236">
            <v>9359.73</v>
          </cell>
          <cell r="F236">
            <v>34</v>
          </cell>
          <cell r="G236">
            <v>0.99639999999999995</v>
          </cell>
          <cell r="H236">
            <v>0.98199999999999998</v>
          </cell>
          <cell r="I236">
            <v>0.99639999999999995</v>
          </cell>
          <cell r="J236" t="str">
            <v>M3B</v>
          </cell>
          <cell r="K236" t="str">
            <v>CRAVO NORTE</v>
          </cell>
          <cell r="L236" t="str">
            <v>CRAVO NORTE</v>
          </cell>
          <cell r="M236" t="str">
            <v>CRAVO NORTE</v>
          </cell>
        </row>
        <row r="237">
          <cell r="B237" t="str">
            <v>LY-083</v>
          </cell>
          <cell r="C237">
            <v>7092.88</v>
          </cell>
          <cell r="D237">
            <v>6000</v>
          </cell>
          <cell r="E237">
            <v>7092.88</v>
          </cell>
          <cell r="F237">
            <v>14</v>
          </cell>
          <cell r="G237">
            <v>0.998</v>
          </cell>
          <cell r="H237">
            <v>0.98909999999999998</v>
          </cell>
          <cell r="I237">
            <v>0.998</v>
          </cell>
          <cell r="J237" t="str">
            <v>N/A</v>
          </cell>
          <cell r="K237" t="str">
            <v>CRAVO NORTE</v>
          </cell>
          <cell r="L237" t="str">
            <v>CRAVO NORTE</v>
          </cell>
          <cell r="M237" t="str">
            <v>CRAVO NORTE</v>
          </cell>
        </row>
        <row r="238">
          <cell r="B238" t="str">
            <v>LY-085</v>
          </cell>
          <cell r="C238">
            <v>1238.31</v>
          </cell>
          <cell r="D238">
            <v>1396.22</v>
          </cell>
          <cell r="E238">
            <v>1238.31</v>
          </cell>
          <cell r="F238">
            <v>15</v>
          </cell>
          <cell r="G238">
            <v>0.98750000000000004</v>
          </cell>
          <cell r="H238">
            <v>0.98750000000000004</v>
          </cell>
          <cell r="I238">
            <v>0.98750000000000004</v>
          </cell>
          <cell r="J238" t="str">
            <v>M2A1-M2B</v>
          </cell>
          <cell r="K238" t="str">
            <v>CRAVO NORTE</v>
          </cell>
          <cell r="L238" t="str">
            <v>CRAVO NORTE</v>
          </cell>
          <cell r="M238" t="str">
            <v>CRAVO NORTE</v>
          </cell>
        </row>
        <row r="239">
          <cell r="B239" t="str">
            <v>LY-086</v>
          </cell>
          <cell r="C239">
            <v>8104.26</v>
          </cell>
          <cell r="D239">
            <v>8008.67</v>
          </cell>
          <cell r="E239">
            <v>8104.26</v>
          </cell>
          <cell r="F239">
            <v>24</v>
          </cell>
          <cell r="G239">
            <v>0.997</v>
          </cell>
          <cell r="H239">
            <v>0.997</v>
          </cell>
          <cell r="I239">
            <v>0.997</v>
          </cell>
          <cell r="J239" t="str">
            <v>M2A0-GUAFITA</v>
          </cell>
          <cell r="K239" t="str">
            <v>CRAVO NORTE</v>
          </cell>
          <cell r="L239" t="str">
            <v>CRAVO NORTE</v>
          </cell>
          <cell r="M239" t="str">
            <v>CRAVO NORTE</v>
          </cell>
        </row>
        <row r="240">
          <cell r="B240" t="str">
            <v>LY-087</v>
          </cell>
          <cell r="C240">
            <v>5279.78</v>
          </cell>
          <cell r="D240">
            <v>5416.57</v>
          </cell>
          <cell r="E240">
            <v>5279.78</v>
          </cell>
          <cell r="F240">
            <v>103</v>
          </cell>
          <cell r="G240">
            <v>0.98049999999999993</v>
          </cell>
          <cell r="H240">
            <v>0.98049999999999993</v>
          </cell>
          <cell r="I240">
            <v>0.98049999999999993</v>
          </cell>
          <cell r="J240" t="str">
            <v>C5c</v>
          </cell>
          <cell r="K240" t="str">
            <v>CRAVO NORTE</v>
          </cell>
          <cell r="L240" t="str">
            <v>CRAVO NORTE</v>
          </cell>
          <cell r="M240" t="str">
            <v>CRAVO NORTE</v>
          </cell>
        </row>
        <row r="241">
          <cell r="B241" t="str">
            <v>LY-088</v>
          </cell>
          <cell r="C241">
            <v>1799.58</v>
          </cell>
          <cell r="D241">
            <v>1836.9</v>
          </cell>
          <cell r="E241">
            <v>1799.58</v>
          </cell>
          <cell r="F241">
            <v>62</v>
          </cell>
          <cell r="G241">
            <v>0.96540000000000004</v>
          </cell>
          <cell r="H241">
            <v>0.96299999999999997</v>
          </cell>
          <cell r="I241">
            <v>0.96540000000000004</v>
          </cell>
          <cell r="J241" t="str">
            <v>K1C2</v>
          </cell>
          <cell r="K241" t="str">
            <v>CRAVO NORTE</v>
          </cell>
          <cell r="L241" t="str">
            <v>CRAVO NORTE</v>
          </cell>
          <cell r="M241" t="str">
            <v>CRAVO NORTE</v>
          </cell>
        </row>
        <row r="242">
          <cell r="B242" t="str">
            <v>LY-089</v>
          </cell>
          <cell r="C242">
            <v>580.29999999999995</v>
          </cell>
          <cell r="D242">
            <v>580.29999999999995</v>
          </cell>
          <cell r="E242">
            <v>0</v>
          </cell>
          <cell r="F242">
            <v>36</v>
          </cell>
          <cell r="G242">
            <v>0.93799999999999994</v>
          </cell>
          <cell r="H242">
            <v>0.93799999999999994</v>
          </cell>
          <cell r="I242">
            <v>0</v>
          </cell>
          <cell r="J242" t="str">
            <v>N/A</v>
          </cell>
          <cell r="K242" t="str">
            <v>CRAVO NORTE</v>
          </cell>
          <cell r="L242" t="str">
            <v>CRAVO NORTE</v>
          </cell>
          <cell r="M242">
            <v>0</v>
          </cell>
        </row>
        <row r="243">
          <cell r="B243" t="str">
            <v>LY-090</v>
          </cell>
          <cell r="C243">
            <v>1504.1</v>
          </cell>
          <cell r="D243">
            <v>1556.71</v>
          </cell>
          <cell r="E243">
            <v>1504.1</v>
          </cell>
          <cell r="F243">
            <v>116</v>
          </cell>
          <cell r="G243">
            <v>0.92299999999999993</v>
          </cell>
          <cell r="H243">
            <v>0.92299999999999993</v>
          </cell>
          <cell r="I243">
            <v>0.92299999999999993</v>
          </cell>
          <cell r="J243" t="str">
            <v>C5c</v>
          </cell>
          <cell r="K243" t="str">
            <v>CRAVO NORTE</v>
          </cell>
          <cell r="L243" t="str">
            <v>CRAVO NORTE</v>
          </cell>
          <cell r="M243" t="str">
            <v>CRAVO NORTE</v>
          </cell>
        </row>
        <row r="244">
          <cell r="B244" t="str">
            <v>LY-092</v>
          </cell>
          <cell r="C244">
            <v>290.06</v>
          </cell>
          <cell r="D244">
            <v>290</v>
          </cell>
          <cell r="E244">
            <v>290.06</v>
          </cell>
          <cell r="F244">
            <v>87</v>
          </cell>
          <cell r="G244">
            <v>0.7</v>
          </cell>
          <cell r="H244">
            <v>0.7</v>
          </cell>
          <cell r="I244">
            <v>0.7</v>
          </cell>
          <cell r="J244" t="str">
            <v>GUAFITA</v>
          </cell>
          <cell r="K244" t="str">
            <v>CRAVO NORTE</v>
          </cell>
          <cell r="L244" t="str">
            <v>CRAVO NORTE</v>
          </cell>
          <cell r="M244" t="str">
            <v>CRAVO NORTE</v>
          </cell>
        </row>
        <row r="245">
          <cell r="B245" t="str">
            <v>LY-093</v>
          </cell>
          <cell r="C245">
            <v>455.01</v>
          </cell>
          <cell r="D245">
            <v>430</v>
          </cell>
          <cell r="E245">
            <v>455.01</v>
          </cell>
          <cell r="F245">
            <v>30</v>
          </cell>
          <cell r="G245">
            <v>0.93500000000000005</v>
          </cell>
          <cell r="H245">
            <v>0.93500000000000005</v>
          </cell>
          <cell r="I245">
            <v>0.93500000000000005</v>
          </cell>
          <cell r="J245" t="str">
            <v>GUAFITA</v>
          </cell>
          <cell r="K245" t="str">
            <v>CRAVO NORTE</v>
          </cell>
          <cell r="L245" t="str">
            <v>CRAVO NORTE</v>
          </cell>
          <cell r="M245" t="str">
            <v>CRAVO NORTE</v>
          </cell>
        </row>
        <row r="246">
          <cell r="B246" t="str">
            <v>LY-094</v>
          </cell>
          <cell r="C246">
            <v>260.38</v>
          </cell>
          <cell r="D246">
            <v>260.38</v>
          </cell>
          <cell r="E246">
            <v>0</v>
          </cell>
          <cell r="F246">
            <v>35</v>
          </cell>
          <cell r="G246">
            <v>0.86699999999999999</v>
          </cell>
          <cell r="H246">
            <v>0.86699999999999999</v>
          </cell>
          <cell r="I246">
            <v>0</v>
          </cell>
          <cell r="J246" t="str">
            <v>C5dA</v>
          </cell>
          <cell r="K246" t="str">
            <v>CRAVO NORTE</v>
          </cell>
          <cell r="L246" t="str">
            <v>CRAVO NORTE</v>
          </cell>
          <cell r="M246">
            <v>0</v>
          </cell>
        </row>
        <row r="247">
          <cell r="B247" t="str">
            <v>LY-095</v>
          </cell>
          <cell r="C247">
            <v>24747.69</v>
          </cell>
          <cell r="D247">
            <v>25572.68</v>
          </cell>
          <cell r="E247">
            <v>24747.69</v>
          </cell>
          <cell r="F247">
            <v>144</v>
          </cell>
          <cell r="G247">
            <v>0.99419999999999997</v>
          </cell>
          <cell r="H247">
            <v>0.99430000000000007</v>
          </cell>
          <cell r="I247">
            <v>0.99419999999999997</v>
          </cell>
          <cell r="J247" t="str">
            <v>M4</v>
          </cell>
          <cell r="K247" t="str">
            <v>CRAVO NORTE</v>
          </cell>
          <cell r="L247" t="str">
            <v>CRAVO NORTE</v>
          </cell>
          <cell r="M247" t="str">
            <v>CRAVO NORTE</v>
          </cell>
        </row>
        <row r="248">
          <cell r="B248" t="str">
            <v>LY-096</v>
          </cell>
          <cell r="C248">
            <v>23314.68</v>
          </cell>
          <cell r="D248">
            <v>24043.18</v>
          </cell>
          <cell r="E248">
            <v>23314.68</v>
          </cell>
          <cell r="F248">
            <v>63</v>
          </cell>
          <cell r="G248">
            <v>0.99730000000000008</v>
          </cell>
          <cell r="H248">
            <v>0.99730000000000008</v>
          </cell>
          <cell r="I248">
            <v>0.99730000000000008</v>
          </cell>
          <cell r="J248" t="str">
            <v>M3C1</v>
          </cell>
          <cell r="K248" t="str">
            <v>CRAVO NORTE</v>
          </cell>
          <cell r="L248" t="str">
            <v>CRAVO NORTE</v>
          </cell>
          <cell r="M248" t="str">
            <v>CRAVO NORTE</v>
          </cell>
        </row>
        <row r="249">
          <cell r="B249" t="str">
            <v>LY-097</v>
          </cell>
          <cell r="C249">
            <v>871.14</v>
          </cell>
          <cell r="D249">
            <v>833.19</v>
          </cell>
          <cell r="E249">
            <v>871.14</v>
          </cell>
          <cell r="F249">
            <v>109</v>
          </cell>
          <cell r="G249">
            <v>0.875</v>
          </cell>
          <cell r="H249">
            <v>0.85109999999999997</v>
          </cell>
          <cell r="I249">
            <v>0.875</v>
          </cell>
          <cell r="J249" t="str">
            <v>C5b</v>
          </cell>
          <cell r="K249" t="str">
            <v>CRAVO NORTE</v>
          </cell>
          <cell r="L249" t="str">
            <v>CRAVO NORTE</v>
          </cell>
          <cell r="M249" t="str">
            <v>CRAVO NORTE</v>
          </cell>
        </row>
        <row r="250">
          <cell r="B250" t="str">
            <v>LY-098</v>
          </cell>
          <cell r="C250">
            <v>55</v>
          </cell>
          <cell r="D250">
            <v>55</v>
          </cell>
          <cell r="E250">
            <v>0</v>
          </cell>
          <cell r="F250">
            <v>55</v>
          </cell>
          <cell r="G250">
            <v>0</v>
          </cell>
          <cell r="H250">
            <v>0</v>
          </cell>
          <cell r="I250">
            <v>0</v>
          </cell>
          <cell r="J250" t="str">
            <v>N/A</v>
          </cell>
          <cell r="K250" t="str">
            <v>CRAVO NORTE</v>
          </cell>
          <cell r="L250" t="str">
            <v>CRAVO NORTE</v>
          </cell>
          <cell r="M250">
            <v>0</v>
          </cell>
        </row>
        <row r="251">
          <cell r="B251" t="str">
            <v>LY-100</v>
          </cell>
          <cell r="C251">
            <v>463.96</v>
          </cell>
          <cell r="D251">
            <v>464.07</v>
          </cell>
          <cell r="E251">
            <v>463.96</v>
          </cell>
          <cell r="F251">
            <v>112</v>
          </cell>
          <cell r="G251">
            <v>0.75900000000000001</v>
          </cell>
          <cell r="H251">
            <v>0.75900000000000001</v>
          </cell>
          <cell r="I251">
            <v>0.75900000000000001</v>
          </cell>
          <cell r="J251" t="str">
            <v>C5a</v>
          </cell>
          <cell r="K251" t="str">
            <v>CRAVO NORTE</v>
          </cell>
          <cell r="L251" t="str">
            <v>CRAVO NORTE</v>
          </cell>
          <cell r="M251" t="str">
            <v>CRAVO NORTE</v>
          </cell>
        </row>
        <row r="252">
          <cell r="B252" t="str">
            <v>LY-101</v>
          </cell>
          <cell r="C252">
            <v>1460.03</v>
          </cell>
          <cell r="D252">
            <v>1460.03</v>
          </cell>
          <cell r="E252">
            <v>0</v>
          </cell>
          <cell r="F252">
            <v>1460</v>
          </cell>
          <cell r="G252">
            <v>0</v>
          </cell>
          <cell r="H252">
            <v>0</v>
          </cell>
          <cell r="I252">
            <v>0</v>
          </cell>
          <cell r="J252" t="str">
            <v>N/A</v>
          </cell>
          <cell r="K252" t="str">
            <v>CRAVO NORTE</v>
          </cell>
          <cell r="L252" t="str">
            <v>CRAVO NORTE</v>
          </cell>
          <cell r="M252">
            <v>0</v>
          </cell>
        </row>
        <row r="253">
          <cell r="B253" t="str">
            <v>LY-102</v>
          </cell>
          <cell r="C253">
            <v>27227.9</v>
          </cell>
          <cell r="D253">
            <v>27227.9</v>
          </cell>
          <cell r="E253">
            <v>0</v>
          </cell>
          <cell r="F253">
            <v>128</v>
          </cell>
          <cell r="G253">
            <v>0.99529999999999996</v>
          </cell>
          <cell r="H253">
            <v>0.99529999999999996</v>
          </cell>
          <cell r="I253">
            <v>0</v>
          </cell>
          <cell r="J253" t="str">
            <v>M1B-M1A2</v>
          </cell>
          <cell r="K253" t="str">
            <v>CRAVO NORTE</v>
          </cell>
          <cell r="L253" t="str">
            <v>CRAVO NORTE</v>
          </cell>
          <cell r="M253">
            <v>0</v>
          </cell>
        </row>
        <row r="254">
          <cell r="B254" t="str">
            <v>LY-103</v>
          </cell>
          <cell r="C254">
            <v>1777.8</v>
          </cell>
          <cell r="D254">
            <v>1914.57</v>
          </cell>
          <cell r="E254">
            <v>1777.8</v>
          </cell>
          <cell r="F254">
            <v>9</v>
          </cell>
          <cell r="G254">
            <v>0.9948999999999999</v>
          </cell>
          <cell r="H254">
            <v>0.9951000000000001</v>
          </cell>
          <cell r="I254">
            <v>0.9948999999999999</v>
          </cell>
          <cell r="J254" t="str">
            <v>C5dB</v>
          </cell>
          <cell r="K254" t="str">
            <v>CRAVO NORTE</v>
          </cell>
          <cell r="L254" t="str">
            <v>CRAVO NORTE</v>
          </cell>
          <cell r="M254" t="str">
            <v>CRAVO NORTE</v>
          </cell>
        </row>
        <row r="255">
          <cell r="B255" t="str">
            <v>LY-104</v>
          </cell>
          <cell r="C255">
            <v>5000</v>
          </cell>
          <cell r="D255">
            <v>5484.87</v>
          </cell>
          <cell r="E255">
            <v>5000</v>
          </cell>
          <cell r="F255">
            <v>135</v>
          </cell>
          <cell r="G255">
            <v>0.97299999999999998</v>
          </cell>
          <cell r="H255">
            <v>0.97180000000000011</v>
          </cell>
          <cell r="I255">
            <v>0.97299999999999998</v>
          </cell>
          <cell r="J255" t="str">
            <v>C5c</v>
          </cell>
          <cell r="K255" t="str">
            <v>CRAVO NORTE</v>
          </cell>
          <cell r="L255" t="str">
            <v>CRAVO NORTE</v>
          </cell>
          <cell r="M255" t="str">
            <v>CRAVO NORTE</v>
          </cell>
        </row>
        <row r="256">
          <cell r="B256" t="str">
            <v>LY-106</v>
          </cell>
          <cell r="C256">
            <v>20991.77</v>
          </cell>
          <cell r="D256">
            <v>20927.95</v>
          </cell>
          <cell r="E256">
            <v>20991.77</v>
          </cell>
          <cell r="F256">
            <v>63</v>
          </cell>
          <cell r="G256">
            <v>0.997</v>
          </cell>
          <cell r="H256">
            <v>0.997</v>
          </cell>
          <cell r="I256">
            <v>0.997</v>
          </cell>
          <cell r="J256" t="str">
            <v>M1A1</v>
          </cell>
          <cell r="K256" t="str">
            <v>CRAVO NORTE</v>
          </cell>
          <cell r="L256" t="str">
            <v>CRAVO NORTE</v>
          </cell>
          <cell r="M256" t="str">
            <v>CRAVO NORTE</v>
          </cell>
        </row>
        <row r="257">
          <cell r="B257" t="str">
            <v>LY-108</v>
          </cell>
          <cell r="C257">
            <v>60.82</v>
          </cell>
          <cell r="D257">
            <v>60.82</v>
          </cell>
          <cell r="E257">
            <v>0</v>
          </cell>
          <cell r="F257">
            <v>58</v>
          </cell>
          <cell r="G257">
            <v>0.05</v>
          </cell>
          <cell r="H257">
            <v>0.05</v>
          </cell>
          <cell r="I257">
            <v>0</v>
          </cell>
          <cell r="J257" t="str">
            <v>C5dB</v>
          </cell>
          <cell r="K257" t="str">
            <v>CRAVO NORTE</v>
          </cell>
          <cell r="L257" t="str">
            <v>CRAVO NORTE</v>
          </cell>
          <cell r="M257">
            <v>0</v>
          </cell>
        </row>
        <row r="258">
          <cell r="B258" t="str">
            <v>LY-109</v>
          </cell>
          <cell r="C258">
            <v>762.18</v>
          </cell>
          <cell r="D258">
            <v>826.97</v>
          </cell>
          <cell r="E258">
            <v>762.18</v>
          </cell>
          <cell r="F258">
            <v>46</v>
          </cell>
          <cell r="G258">
            <v>0.94</v>
          </cell>
          <cell r="H258">
            <v>0.94</v>
          </cell>
          <cell r="I258">
            <v>0.94</v>
          </cell>
          <cell r="J258" t="str">
            <v>C5c</v>
          </cell>
          <cell r="K258" t="str">
            <v>CRAVO NORTE</v>
          </cell>
          <cell r="L258" t="str">
            <v>CRAVO NORTE</v>
          </cell>
          <cell r="M258" t="str">
            <v>CRAVO NORTE</v>
          </cell>
        </row>
        <row r="259">
          <cell r="B259" t="str">
            <v>LY-110</v>
          </cell>
          <cell r="C259">
            <v>10759.03</v>
          </cell>
          <cell r="D259">
            <v>12723.08</v>
          </cell>
          <cell r="E259">
            <v>10759.03</v>
          </cell>
          <cell r="F259">
            <v>59</v>
          </cell>
          <cell r="G259">
            <v>0.99450000000000005</v>
          </cell>
          <cell r="H259">
            <v>0.99450000000000005</v>
          </cell>
          <cell r="I259">
            <v>0.99450000000000005</v>
          </cell>
          <cell r="J259" t="str">
            <v>M1A2-M1A1</v>
          </cell>
          <cell r="K259" t="str">
            <v>CRAVO NORTE</v>
          </cell>
          <cell r="L259" t="str">
            <v>CRAVO NORTE</v>
          </cell>
          <cell r="M259" t="str">
            <v>CRAVO NORTE</v>
          </cell>
        </row>
        <row r="260">
          <cell r="B260" t="str">
            <v>LY-112</v>
          </cell>
          <cell r="C260">
            <v>976.38</v>
          </cell>
          <cell r="D260">
            <v>1039.9000000000001</v>
          </cell>
          <cell r="E260">
            <v>976.38</v>
          </cell>
          <cell r="F260">
            <v>26</v>
          </cell>
          <cell r="G260">
            <v>0.97299999999999998</v>
          </cell>
          <cell r="H260">
            <v>0.97299999999999998</v>
          </cell>
          <cell r="I260">
            <v>0.97299999999999998</v>
          </cell>
          <cell r="J260" t="str">
            <v>N/A</v>
          </cell>
          <cell r="K260" t="str">
            <v>CRAVO NORTE</v>
          </cell>
          <cell r="L260" t="str">
            <v>CRAVO NORTE</v>
          </cell>
          <cell r="M260" t="str">
            <v>CRAVO NORTE</v>
          </cell>
        </row>
        <row r="261">
          <cell r="B261" t="str">
            <v>LY-114</v>
          </cell>
          <cell r="C261">
            <v>6169.19</v>
          </cell>
          <cell r="D261">
            <v>6413.6</v>
          </cell>
          <cell r="E261">
            <v>6169.19</v>
          </cell>
          <cell r="F261">
            <v>70</v>
          </cell>
          <cell r="G261">
            <v>0.98860000000000003</v>
          </cell>
          <cell r="H261">
            <v>0.98840000000000006</v>
          </cell>
          <cell r="I261">
            <v>0.98860000000000003</v>
          </cell>
          <cell r="J261" t="str">
            <v>M3B-M3A</v>
          </cell>
          <cell r="K261" t="str">
            <v>CRAVO NORTE</v>
          </cell>
          <cell r="L261" t="str">
            <v>CRAVO NORTE</v>
          </cell>
          <cell r="M261" t="str">
            <v>CRAVO NORTE</v>
          </cell>
        </row>
        <row r="262">
          <cell r="B262" t="str">
            <v>LY-115</v>
          </cell>
          <cell r="C262">
            <v>2975</v>
          </cell>
          <cell r="D262">
            <v>2975</v>
          </cell>
          <cell r="E262">
            <v>0</v>
          </cell>
          <cell r="F262">
            <v>32</v>
          </cell>
          <cell r="G262">
            <v>0.98919999999999997</v>
          </cell>
          <cell r="H262">
            <v>0.98919999999999997</v>
          </cell>
          <cell r="I262">
            <v>0</v>
          </cell>
          <cell r="J262" t="str">
            <v>K1B1_Upper</v>
          </cell>
          <cell r="K262" t="str">
            <v>CRAVO NORTE</v>
          </cell>
          <cell r="L262" t="str">
            <v>CRAVO NORTE</v>
          </cell>
          <cell r="M262">
            <v>0</v>
          </cell>
        </row>
        <row r="263">
          <cell r="B263" t="str">
            <v>LY-116</v>
          </cell>
          <cell r="C263">
            <v>1083.1300000000001</v>
          </cell>
          <cell r="D263">
            <v>1089.92</v>
          </cell>
          <cell r="E263">
            <v>1083.1300000000001</v>
          </cell>
          <cell r="F263">
            <v>14</v>
          </cell>
          <cell r="G263">
            <v>0.98699999999999999</v>
          </cell>
          <cell r="H263">
            <v>0.98699999999999999</v>
          </cell>
          <cell r="I263">
            <v>0.98699999999999999</v>
          </cell>
          <cell r="J263" t="str">
            <v>C5c</v>
          </cell>
          <cell r="K263" t="str">
            <v>CRAVO NORTE</v>
          </cell>
          <cell r="L263" t="str">
            <v>CRAVO NORTE</v>
          </cell>
          <cell r="M263" t="str">
            <v>CRAVO NORTE</v>
          </cell>
        </row>
        <row r="264">
          <cell r="B264" t="str">
            <v>LY-117</v>
          </cell>
          <cell r="C264">
            <v>456.7</v>
          </cell>
          <cell r="D264">
            <v>429.95</v>
          </cell>
          <cell r="E264">
            <v>456.7</v>
          </cell>
          <cell r="F264">
            <v>114</v>
          </cell>
          <cell r="G264">
            <v>0.75</v>
          </cell>
          <cell r="H264">
            <v>0.75</v>
          </cell>
          <cell r="I264">
            <v>0.75</v>
          </cell>
          <cell r="J264" t="str">
            <v>C5b</v>
          </cell>
          <cell r="K264" t="str">
            <v>CRAVO NORTE</v>
          </cell>
          <cell r="L264" t="str">
            <v>CRAVO NORTE</v>
          </cell>
          <cell r="M264" t="str">
            <v>CRAVO NORTE</v>
          </cell>
        </row>
        <row r="265">
          <cell r="B265" t="str">
            <v>LY-119</v>
          </cell>
          <cell r="C265">
            <v>7445.71</v>
          </cell>
          <cell r="D265">
            <v>7445.71</v>
          </cell>
          <cell r="E265">
            <v>0</v>
          </cell>
          <cell r="F265">
            <v>53</v>
          </cell>
          <cell r="G265">
            <v>0.99290000000000012</v>
          </cell>
          <cell r="H265">
            <v>0.99290000000000012</v>
          </cell>
          <cell r="I265">
            <v>0</v>
          </cell>
          <cell r="J265" t="str">
            <v>M1A2-M1A1</v>
          </cell>
          <cell r="K265" t="str">
            <v>CRAVO NORTE</v>
          </cell>
          <cell r="L265" t="str">
            <v>CRAVO NORTE</v>
          </cell>
          <cell r="M265">
            <v>0</v>
          </cell>
        </row>
        <row r="266">
          <cell r="B266" t="str">
            <v>LY-121</v>
          </cell>
          <cell r="C266">
            <v>6797.48</v>
          </cell>
          <cell r="D266">
            <v>1060</v>
          </cell>
          <cell r="E266">
            <v>6797.48</v>
          </cell>
          <cell r="F266">
            <v>150</v>
          </cell>
          <cell r="G266">
            <v>0.97799999999999998</v>
          </cell>
          <cell r="H266">
            <v>0.96499999999999997</v>
          </cell>
          <cell r="I266">
            <v>0.97799999999999998</v>
          </cell>
          <cell r="J266" t="str">
            <v>M1A1</v>
          </cell>
          <cell r="K266" t="str">
            <v>CRAVO NORTE</v>
          </cell>
          <cell r="L266" t="str">
            <v>CRAVO NORTE</v>
          </cell>
          <cell r="M266" t="str">
            <v>CRAVO NORTE</v>
          </cell>
        </row>
        <row r="267">
          <cell r="B267" t="str">
            <v>LY-122</v>
          </cell>
          <cell r="C267">
            <v>30</v>
          </cell>
          <cell r="D267">
            <v>50</v>
          </cell>
          <cell r="E267">
            <v>30</v>
          </cell>
          <cell r="F267">
            <v>6</v>
          </cell>
          <cell r="G267">
            <v>0.8</v>
          </cell>
          <cell r="H267">
            <v>0.8</v>
          </cell>
          <cell r="I267">
            <v>0.8</v>
          </cell>
          <cell r="J267" t="str">
            <v>K1B2_Upper</v>
          </cell>
          <cell r="K267" t="str">
            <v>CRAVO NORTE</v>
          </cell>
          <cell r="L267" t="str">
            <v>CRAVO NORTE</v>
          </cell>
          <cell r="M267" t="str">
            <v>CRAVO NORTE</v>
          </cell>
        </row>
        <row r="268">
          <cell r="B268" t="str">
            <v>LY-123</v>
          </cell>
          <cell r="C268">
            <v>14249.45</v>
          </cell>
          <cell r="D268">
            <v>14488.75</v>
          </cell>
          <cell r="E268">
            <v>14249.45</v>
          </cell>
          <cell r="F268">
            <v>83</v>
          </cell>
          <cell r="G268">
            <v>0.99419999999999997</v>
          </cell>
          <cell r="H268">
            <v>0.995</v>
          </cell>
          <cell r="I268">
            <v>0.99419999999999997</v>
          </cell>
          <cell r="J268" t="str">
            <v>M4S</v>
          </cell>
          <cell r="K268" t="str">
            <v>CRAVO NORTE</v>
          </cell>
          <cell r="L268" t="str">
            <v>CRAVO NORTE</v>
          </cell>
          <cell r="M268" t="str">
            <v>CRAVO NORTE</v>
          </cell>
        </row>
        <row r="269">
          <cell r="B269" t="str">
            <v>LY-125</v>
          </cell>
          <cell r="C269">
            <v>1065.71</v>
          </cell>
          <cell r="D269">
            <v>1106.01</v>
          </cell>
          <cell r="E269">
            <v>1065.71</v>
          </cell>
          <cell r="F269">
            <v>18</v>
          </cell>
          <cell r="G269">
            <v>0.98299999999999998</v>
          </cell>
          <cell r="H269">
            <v>0.98299999999999998</v>
          </cell>
          <cell r="I269">
            <v>0.98299999999999998</v>
          </cell>
          <cell r="J269" t="str">
            <v>K1B1_Upper</v>
          </cell>
          <cell r="K269" t="str">
            <v>CRAVO NORTE</v>
          </cell>
          <cell r="L269" t="str">
            <v>CRAVO NORTE</v>
          </cell>
          <cell r="M269" t="str">
            <v>CRAVO NORTE</v>
          </cell>
        </row>
        <row r="270">
          <cell r="B270" t="str">
            <v>LY-127</v>
          </cell>
          <cell r="C270">
            <v>19568.740000000002</v>
          </cell>
          <cell r="D270">
            <v>19799.599999999999</v>
          </cell>
          <cell r="E270">
            <v>19568.740000000002</v>
          </cell>
          <cell r="F270">
            <v>141</v>
          </cell>
          <cell r="G270">
            <v>0.99280000000000002</v>
          </cell>
          <cell r="H270">
            <v>0.99309999999999998</v>
          </cell>
          <cell r="I270">
            <v>0.99280000000000002</v>
          </cell>
          <cell r="J270" t="str">
            <v>M3A-M2A0-M2A1-M2B-GUAFITA-M3B</v>
          </cell>
          <cell r="K270" t="str">
            <v>CRAVO NORTE</v>
          </cell>
          <cell r="L270" t="str">
            <v>CRAVO NORTE</v>
          </cell>
          <cell r="M270" t="str">
            <v>CRAVO NORTE</v>
          </cell>
        </row>
        <row r="271">
          <cell r="B271" t="str">
            <v>LY-128</v>
          </cell>
          <cell r="C271">
            <v>16730.97</v>
          </cell>
          <cell r="D271">
            <v>18164.02</v>
          </cell>
          <cell r="E271">
            <v>16730.97</v>
          </cell>
          <cell r="F271">
            <v>50</v>
          </cell>
          <cell r="G271">
            <v>0.997</v>
          </cell>
          <cell r="H271">
            <v>0.997</v>
          </cell>
          <cell r="I271">
            <v>0.997</v>
          </cell>
          <cell r="J271" t="str">
            <v>M3C-M3B-M3C1</v>
          </cell>
          <cell r="K271" t="str">
            <v>CRAVO NORTE</v>
          </cell>
          <cell r="L271" t="str">
            <v>CRAVO NORTE</v>
          </cell>
          <cell r="M271" t="str">
            <v>CRAVO NORTE</v>
          </cell>
        </row>
        <row r="272">
          <cell r="B272" t="str">
            <v>LY-130</v>
          </cell>
          <cell r="C272">
            <v>4013.8</v>
          </cell>
          <cell r="D272">
            <v>4013.8</v>
          </cell>
          <cell r="E272">
            <v>0</v>
          </cell>
          <cell r="F272">
            <v>41</v>
          </cell>
          <cell r="G272">
            <v>0.9899</v>
          </cell>
          <cell r="H272">
            <v>0.9899</v>
          </cell>
          <cell r="I272">
            <v>0</v>
          </cell>
          <cell r="J272" t="str">
            <v>C5c-C5dA-C5dB</v>
          </cell>
          <cell r="K272" t="str">
            <v>CRAVO NORTE</v>
          </cell>
          <cell r="L272" t="str">
            <v>CRAVO NORTE</v>
          </cell>
          <cell r="M272">
            <v>0</v>
          </cell>
        </row>
        <row r="273">
          <cell r="B273" t="str">
            <v>LY-131</v>
          </cell>
          <cell r="C273">
            <v>7945.92</v>
          </cell>
          <cell r="D273">
            <v>8213.23</v>
          </cell>
          <cell r="E273">
            <v>7945.92</v>
          </cell>
          <cell r="F273">
            <v>25</v>
          </cell>
          <cell r="G273">
            <v>0.99690000000000001</v>
          </cell>
          <cell r="H273">
            <v>0.99690000000000001</v>
          </cell>
          <cell r="I273">
            <v>0.99690000000000001</v>
          </cell>
          <cell r="J273" t="str">
            <v>K1C1_ower-K1C2</v>
          </cell>
          <cell r="K273" t="str">
            <v>CRAVO NORTE</v>
          </cell>
          <cell r="L273" t="str">
            <v>CRAVO NORTE</v>
          </cell>
          <cell r="M273" t="str">
            <v>CRAVO NORTE</v>
          </cell>
        </row>
        <row r="274">
          <cell r="B274" t="str">
            <v>LY-132</v>
          </cell>
          <cell r="C274">
            <v>849.63</v>
          </cell>
          <cell r="D274">
            <v>770</v>
          </cell>
          <cell r="E274">
            <v>849.63</v>
          </cell>
          <cell r="F274">
            <v>25</v>
          </cell>
          <cell r="G274">
            <v>0.97</v>
          </cell>
          <cell r="H274">
            <v>0.93</v>
          </cell>
          <cell r="I274">
            <v>0.97</v>
          </cell>
          <cell r="J274" t="str">
            <v>M1A1</v>
          </cell>
          <cell r="K274" t="str">
            <v>CRAVO NORTE</v>
          </cell>
          <cell r="L274" t="str">
            <v>CRAVO NORTE</v>
          </cell>
          <cell r="M274" t="str">
            <v>CRAVO NORTE</v>
          </cell>
        </row>
        <row r="275">
          <cell r="B275" t="str">
            <v>LY-133</v>
          </cell>
          <cell r="C275">
            <v>6657.82</v>
          </cell>
          <cell r="D275">
            <v>6657.82</v>
          </cell>
          <cell r="E275">
            <v>5637.52</v>
          </cell>
          <cell r="F275">
            <v>80</v>
          </cell>
          <cell r="G275">
            <v>0.98199999999999998</v>
          </cell>
          <cell r="H275">
            <v>0.98799999999999999</v>
          </cell>
          <cell r="I275">
            <v>0</v>
          </cell>
          <cell r="J275" t="str">
            <v>M1A1</v>
          </cell>
          <cell r="K275" t="str">
            <v>CRAVO NORTE</v>
          </cell>
          <cell r="L275" t="str">
            <v>CRAVO NORTE</v>
          </cell>
          <cell r="M275">
            <v>0</v>
          </cell>
        </row>
        <row r="276">
          <cell r="B276" t="str">
            <v>LY-136</v>
          </cell>
          <cell r="C276">
            <v>314.58999999999997</v>
          </cell>
          <cell r="D276">
            <v>280.29000000000002</v>
          </cell>
          <cell r="E276">
            <v>314.58999999999997</v>
          </cell>
          <cell r="F276">
            <v>192</v>
          </cell>
          <cell r="G276">
            <v>0.39</v>
          </cell>
          <cell r="H276">
            <v>0.39</v>
          </cell>
          <cell r="I276">
            <v>0.76</v>
          </cell>
          <cell r="J276" t="str">
            <v>N/A</v>
          </cell>
          <cell r="K276" t="str">
            <v>CRAVO NORTE</v>
          </cell>
          <cell r="L276" t="str">
            <v>CRAVO NORTE</v>
          </cell>
          <cell r="M276" t="str">
            <v>CRAVO NORTE</v>
          </cell>
        </row>
        <row r="277">
          <cell r="B277" t="str">
            <v>LY-137</v>
          </cell>
          <cell r="C277">
            <v>4247.3100000000004</v>
          </cell>
          <cell r="D277">
            <v>4417.71</v>
          </cell>
          <cell r="E277">
            <v>4247.3100000000004</v>
          </cell>
          <cell r="F277">
            <v>16</v>
          </cell>
          <cell r="G277">
            <v>0.99620000000000009</v>
          </cell>
          <cell r="H277">
            <v>0.99560000000000004</v>
          </cell>
          <cell r="I277">
            <v>0.99620000000000009</v>
          </cell>
          <cell r="J277" t="str">
            <v>K1B1_Upper</v>
          </cell>
          <cell r="K277" t="str">
            <v>CRAVO NORTE</v>
          </cell>
          <cell r="L277" t="str">
            <v>CRAVO NORTE</v>
          </cell>
          <cell r="M277" t="str">
            <v>CRAVO NORTE</v>
          </cell>
        </row>
        <row r="278">
          <cell r="B278" t="str">
            <v>LY-138</v>
          </cell>
          <cell r="C278">
            <v>1050</v>
          </cell>
          <cell r="D278">
            <v>1050</v>
          </cell>
          <cell r="E278">
            <v>0</v>
          </cell>
          <cell r="F278">
            <v>95</v>
          </cell>
          <cell r="G278">
            <v>0.91</v>
          </cell>
          <cell r="H278">
            <v>0.91</v>
          </cell>
          <cell r="I278">
            <v>0</v>
          </cell>
          <cell r="J278" t="str">
            <v>K1A2_ower</v>
          </cell>
          <cell r="K278" t="str">
            <v>CRAVO NORTE</v>
          </cell>
          <cell r="L278" t="str">
            <v>CRAVO NORTE</v>
          </cell>
          <cell r="M278">
            <v>0</v>
          </cell>
        </row>
        <row r="279">
          <cell r="B279" t="str">
            <v>LY-140</v>
          </cell>
          <cell r="C279">
            <v>15285.95</v>
          </cell>
          <cell r="D279">
            <v>15605.83</v>
          </cell>
          <cell r="E279">
            <v>15285.95</v>
          </cell>
          <cell r="F279">
            <v>61</v>
          </cell>
          <cell r="G279">
            <v>0.996</v>
          </cell>
          <cell r="H279">
            <v>0.99480000000000002</v>
          </cell>
          <cell r="I279">
            <v>0.996</v>
          </cell>
          <cell r="J279" t="str">
            <v>M1B</v>
          </cell>
          <cell r="K279" t="str">
            <v>CRAVO NORTE</v>
          </cell>
          <cell r="L279" t="str">
            <v>CRAVO NORTE</v>
          </cell>
          <cell r="M279" t="str">
            <v>CRAVO NORTE</v>
          </cell>
        </row>
        <row r="280">
          <cell r="B280" t="str">
            <v>LY-141</v>
          </cell>
          <cell r="C280">
            <v>25234.7</v>
          </cell>
          <cell r="D280">
            <v>21210.11</v>
          </cell>
          <cell r="E280">
            <v>25234.7</v>
          </cell>
          <cell r="F280">
            <v>83</v>
          </cell>
          <cell r="G280">
            <v>0.99670000000000003</v>
          </cell>
          <cell r="H280">
            <v>0.99709999999999999</v>
          </cell>
          <cell r="I280">
            <v>0.99670000000000003</v>
          </cell>
          <cell r="J280" t="str">
            <v>M1A1</v>
          </cell>
          <cell r="K280" t="str">
            <v>CRAVO NORTE</v>
          </cell>
          <cell r="L280" t="str">
            <v>CRAVO NORTE</v>
          </cell>
          <cell r="M280" t="str">
            <v>CRAVO NORTE</v>
          </cell>
        </row>
        <row r="281">
          <cell r="B281" t="str">
            <v>LY-142</v>
          </cell>
          <cell r="C281">
            <v>840.55</v>
          </cell>
          <cell r="D281">
            <v>870.9</v>
          </cell>
          <cell r="E281">
            <v>840.55</v>
          </cell>
          <cell r="F281">
            <v>78</v>
          </cell>
          <cell r="G281">
            <v>0.90700000000000003</v>
          </cell>
          <cell r="H281">
            <v>0.90700000000000003</v>
          </cell>
          <cell r="I281">
            <v>0.90700000000000003</v>
          </cell>
          <cell r="J281" t="str">
            <v>C5b</v>
          </cell>
          <cell r="K281" t="str">
            <v>CRAVO NORTE</v>
          </cell>
          <cell r="L281" t="str">
            <v>CRAVO NORTE</v>
          </cell>
          <cell r="M281" t="str">
            <v>CRAVO NORTE</v>
          </cell>
        </row>
        <row r="282">
          <cell r="B282" t="str">
            <v>LY-143</v>
          </cell>
          <cell r="C282">
            <v>21643.119999999999</v>
          </cell>
          <cell r="D282">
            <v>20726.650000000001</v>
          </cell>
          <cell r="E282">
            <v>21643.119999999999</v>
          </cell>
          <cell r="F282">
            <v>97</v>
          </cell>
          <cell r="G282">
            <v>0.99549999999999994</v>
          </cell>
          <cell r="H282">
            <v>0.99549999999999994</v>
          </cell>
          <cell r="I282">
            <v>0.99549999999999994</v>
          </cell>
          <cell r="J282" t="str">
            <v>M3B</v>
          </cell>
          <cell r="K282" t="str">
            <v>CRAVO NORTE</v>
          </cell>
          <cell r="L282" t="str">
            <v>CRAVO NORTE</v>
          </cell>
          <cell r="M282" t="str">
            <v>CRAVO NORTE</v>
          </cell>
        </row>
        <row r="283">
          <cell r="B283" t="str">
            <v>LY-144</v>
          </cell>
          <cell r="C283">
            <v>700</v>
          </cell>
          <cell r="D283">
            <v>700</v>
          </cell>
          <cell r="E283">
            <v>0</v>
          </cell>
          <cell r="F283">
            <v>700</v>
          </cell>
          <cell r="G283">
            <v>0</v>
          </cell>
          <cell r="H283">
            <v>0</v>
          </cell>
          <cell r="I283">
            <v>0</v>
          </cell>
          <cell r="J283" t="str">
            <v>N/A</v>
          </cell>
          <cell r="K283" t="str">
            <v>CRAVO NORTE</v>
          </cell>
          <cell r="L283" t="str">
            <v>CRAVO NORTE</v>
          </cell>
          <cell r="M283">
            <v>0</v>
          </cell>
        </row>
        <row r="284">
          <cell r="B284" t="str">
            <v>LY-146</v>
          </cell>
          <cell r="C284">
            <v>30766.59</v>
          </cell>
          <cell r="D284">
            <v>12371.25</v>
          </cell>
          <cell r="E284">
            <v>30766.59</v>
          </cell>
          <cell r="F284">
            <v>132</v>
          </cell>
          <cell r="G284">
            <v>0.99569999999999992</v>
          </cell>
          <cell r="H284">
            <v>0.99470000000000003</v>
          </cell>
          <cell r="I284">
            <v>0.99569999999999992</v>
          </cell>
          <cell r="J284" t="str">
            <v>M4S</v>
          </cell>
          <cell r="K284" t="str">
            <v>CRAVO NORTE</v>
          </cell>
          <cell r="L284" t="str">
            <v>CRAVO NORTE</v>
          </cell>
          <cell r="M284" t="str">
            <v>CRAVO NORTE</v>
          </cell>
        </row>
        <row r="285">
          <cell r="B285" t="str">
            <v>LY-147</v>
          </cell>
          <cell r="C285">
            <v>15693.8</v>
          </cell>
          <cell r="D285">
            <v>15124.31</v>
          </cell>
          <cell r="E285">
            <v>15693.8</v>
          </cell>
          <cell r="F285">
            <v>168</v>
          </cell>
          <cell r="G285">
            <v>0.98930000000000007</v>
          </cell>
          <cell r="H285">
            <v>0.98930000000000007</v>
          </cell>
          <cell r="I285">
            <v>0.98930000000000007</v>
          </cell>
          <cell r="J285" t="str">
            <v>M2A0-M2A1-M3B</v>
          </cell>
          <cell r="K285" t="str">
            <v>CRAVO NORTE</v>
          </cell>
          <cell r="L285" t="str">
            <v>CRAVO NORTE</v>
          </cell>
          <cell r="M285" t="str">
            <v>CRAVO NORTE</v>
          </cell>
        </row>
        <row r="286">
          <cell r="B286" t="str">
            <v>LY-149</v>
          </cell>
          <cell r="C286">
            <v>1222.98</v>
          </cell>
          <cell r="D286">
            <v>1205.27</v>
          </cell>
          <cell r="E286">
            <v>1222.98</v>
          </cell>
          <cell r="F286">
            <v>57</v>
          </cell>
          <cell r="G286">
            <v>0.95299999999999996</v>
          </cell>
          <cell r="H286">
            <v>0.95299999999999996</v>
          </cell>
          <cell r="I286">
            <v>0.95299999999999996</v>
          </cell>
          <cell r="J286" t="str">
            <v>C5a</v>
          </cell>
          <cell r="K286" t="str">
            <v>CRAVO NORTE</v>
          </cell>
          <cell r="L286" t="str">
            <v>CRAVO NORTE</v>
          </cell>
          <cell r="M286" t="str">
            <v>CRAVO NORTE</v>
          </cell>
        </row>
        <row r="287">
          <cell r="B287" t="str">
            <v>LY-150</v>
          </cell>
          <cell r="C287">
            <v>6472.29</v>
          </cell>
          <cell r="D287">
            <v>7700</v>
          </cell>
          <cell r="E287">
            <v>6472.29</v>
          </cell>
          <cell r="F287">
            <v>168</v>
          </cell>
          <cell r="G287">
            <v>0.97400000000000009</v>
          </cell>
          <cell r="H287">
            <v>0.998</v>
          </cell>
          <cell r="I287">
            <v>0.97400000000000009</v>
          </cell>
          <cell r="J287" t="str">
            <v>N/A</v>
          </cell>
          <cell r="K287" t="str">
            <v>CRAVO NORTE</v>
          </cell>
          <cell r="L287" t="str">
            <v>CRAVO NORTE</v>
          </cell>
          <cell r="M287" t="str">
            <v>CRAVO NORTE</v>
          </cell>
        </row>
        <row r="288">
          <cell r="B288" t="str">
            <v>LY-151</v>
          </cell>
          <cell r="C288">
            <v>11663.7</v>
          </cell>
          <cell r="D288">
            <v>11663.7</v>
          </cell>
          <cell r="E288">
            <v>11663.7</v>
          </cell>
          <cell r="F288">
            <v>31</v>
          </cell>
          <cell r="G288">
            <v>0.99730000000000008</v>
          </cell>
          <cell r="H288">
            <v>0.99730000000000008</v>
          </cell>
          <cell r="I288">
            <v>0</v>
          </cell>
          <cell r="J288" t="str">
            <v>M1B</v>
          </cell>
          <cell r="K288" t="str">
            <v>CRAVO NORTE</v>
          </cell>
          <cell r="L288" t="str">
            <v>CRAVO NORTE</v>
          </cell>
          <cell r="M288">
            <v>0</v>
          </cell>
        </row>
        <row r="289">
          <cell r="B289" t="str">
            <v>LY-152</v>
          </cell>
          <cell r="C289">
            <v>295</v>
          </cell>
          <cell r="D289">
            <v>265</v>
          </cell>
          <cell r="E289">
            <v>295</v>
          </cell>
          <cell r="F289">
            <v>94</v>
          </cell>
          <cell r="G289">
            <v>0.68</v>
          </cell>
          <cell r="H289">
            <v>0.67</v>
          </cell>
          <cell r="I289">
            <v>0.68</v>
          </cell>
          <cell r="J289" t="str">
            <v>M1A1</v>
          </cell>
          <cell r="K289" t="str">
            <v>CRAVO NORTE</v>
          </cell>
          <cell r="L289" t="str">
            <v>CRAVO NORTE</v>
          </cell>
          <cell r="M289" t="str">
            <v>CRAVO NORTE</v>
          </cell>
        </row>
        <row r="290">
          <cell r="B290" t="str">
            <v>LY-153</v>
          </cell>
          <cell r="C290">
            <v>4639.25</v>
          </cell>
          <cell r="D290">
            <v>4750</v>
          </cell>
          <cell r="E290">
            <v>4639.25</v>
          </cell>
          <cell r="F290">
            <v>56</v>
          </cell>
          <cell r="G290">
            <v>0.98799999999999999</v>
          </cell>
          <cell r="H290">
            <v>0.9890000000000001</v>
          </cell>
          <cell r="I290">
            <v>0.98799999999999999</v>
          </cell>
          <cell r="J290" t="str">
            <v>N/A</v>
          </cell>
          <cell r="K290" t="str">
            <v>CRAVO NORTE</v>
          </cell>
          <cell r="L290" t="str">
            <v>CRAVO NORTE</v>
          </cell>
          <cell r="M290" t="str">
            <v>CRAVO NORTE</v>
          </cell>
        </row>
        <row r="291">
          <cell r="B291" t="str">
            <v>LY-156</v>
          </cell>
          <cell r="C291">
            <v>4800.0200000000004</v>
          </cell>
          <cell r="D291">
            <v>4800.0200000000004</v>
          </cell>
          <cell r="E291">
            <v>0</v>
          </cell>
          <cell r="F291">
            <v>53</v>
          </cell>
          <cell r="G291">
            <v>0.9890000000000001</v>
          </cell>
          <cell r="H291">
            <v>0.9890000000000001</v>
          </cell>
          <cell r="I291">
            <v>0</v>
          </cell>
          <cell r="J291" t="str">
            <v>K1A1</v>
          </cell>
          <cell r="K291" t="str">
            <v>CRAVO NORTE</v>
          </cell>
          <cell r="L291" t="str">
            <v>CRAVO NORTE</v>
          </cell>
          <cell r="M291">
            <v>0</v>
          </cell>
        </row>
        <row r="292">
          <cell r="B292" t="str">
            <v>LY-157</v>
          </cell>
          <cell r="C292">
            <v>1023.67</v>
          </cell>
          <cell r="D292">
            <v>1058.42</v>
          </cell>
          <cell r="E292">
            <v>1023.67</v>
          </cell>
          <cell r="F292">
            <v>39</v>
          </cell>
          <cell r="G292">
            <v>0.96200000000000008</v>
          </cell>
          <cell r="H292">
            <v>0.96200000000000008</v>
          </cell>
          <cell r="I292">
            <v>0.96200000000000008</v>
          </cell>
          <cell r="J292" t="str">
            <v>M2B-M3B</v>
          </cell>
          <cell r="K292" t="str">
            <v>CRAVO NORTE</v>
          </cell>
          <cell r="L292" t="str">
            <v>CRAVO NORTE</v>
          </cell>
          <cell r="M292" t="str">
            <v>CRAVO NORTE</v>
          </cell>
        </row>
        <row r="293">
          <cell r="B293" t="str">
            <v>LY-158</v>
          </cell>
          <cell r="C293">
            <v>13271.43</v>
          </cell>
          <cell r="D293">
            <v>13352.28</v>
          </cell>
          <cell r="E293">
            <v>13271.43</v>
          </cell>
          <cell r="F293">
            <v>80</v>
          </cell>
          <cell r="G293">
            <v>0.99400000000000011</v>
          </cell>
          <cell r="H293">
            <v>0.99409999999999998</v>
          </cell>
          <cell r="I293">
            <v>0.99400000000000011</v>
          </cell>
          <cell r="J293" t="str">
            <v>M3A-M3B</v>
          </cell>
          <cell r="K293" t="str">
            <v>CRAVO NORTE</v>
          </cell>
          <cell r="L293" t="str">
            <v>CRAVO NORTE</v>
          </cell>
          <cell r="M293" t="str">
            <v>CRAVO NORTE</v>
          </cell>
        </row>
        <row r="294">
          <cell r="B294" t="str">
            <v>LY-159</v>
          </cell>
          <cell r="C294">
            <v>3671.61</v>
          </cell>
          <cell r="D294">
            <v>3720</v>
          </cell>
          <cell r="E294">
            <v>3671.61</v>
          </cell>
          <cell r="F294">
            <v>191</v>
          </cell>
          <cell r="G294">
            <v>0.94799999999999995</v>
          </cell>
          <cell r="H294">
            <v>0.93799999999999994</v>
          </cell>
          <cell r="I294">
            <v>0.94799999999999995</v>
          </cell>
          <cell r="J294" t="str">
            <v>M1A1</v>
          </cell>
          <cell r="K294" t="str">
            <v>CRAVO NORTE</v>
          </cell>
          <cell r="L294" t="str">
            <v>CRAVO NORTE</v>
          </cell>
          <cell r="M294" t="str">
            <v>CRAVO NORTE</v>
          </cell>
        </row>
        <row r="295">
          <cell r="B295" t="str">
            <v>LY-161</v>
          </cell>
          <cell r="C295">
            <v>650</v>
          </cell>
          <cell r="D295">
            <v>8617.7800000000007</v>
          </cell>
          <cell r="E295">
            <v>650</v>
          </cell>
          <cell r="F295">
            <v>631</v>
          </cell>
          <cell r="G295">
            <v>0.03</v>
          </cell>
          <cell r="H295">
            <v>0.9890000000000001</v>
          </cell>
          <cell r="I295">
            <v>0.03</v>
          </cell>
          <cell r="J295" t="str">
            <v>K1B2_Upper-K1B1_ower</v>
          </cell>
          <cell r="K295" t="str">
            <v>CRAVO NORTE</v>
          </cell>
          <cell r="L295" t="str">
            <v>CRAVO NORTE</v>
          </cell>
          <cell r="M295" t="str">
            <v>CRAVO NORTE</v>
          </cell>
        </row>
        <row r="296">
          <cell r="B296" t="str">
            <v>LY-162</v>
          </cell>
          <cell r="C296">
            <v>3564.29</v>
          </cell>
          <cell r="D296">
            <v>3711.67</v>
          </cell>
          <cell r="E296">
            <v>3564.29</v>
          </cell>
          <cell r="F296">
            <v>43</v>
          </cell>
          <cell r="G296">
            <v>0.98799999999999999</v>
          </cell>
          <cell r="H296">
            <v>0.98799999999999999</v>
          </cell>
          <cell r="I296">
            <v>0.98799999999999999</v>
          </cell>
          <cell r="J296" t="str">
            <v>K1A2_Upper</v>
          </cell>
          <cell r="K296" t="str">
            <v>CRAVO NORTE</v>
          </cell>
          <cell r="L296" t="str">
            <v>CRAVO NORTE</v>
          </cell>
          <cell r="M296" t="str">
            <v>CRAVO NORTE</v>
          </cell>
        </row>
        <row r="297">
          <cell r="B297" t="str">
            <v>LY-164</v>
          </cell>
          <cell r="C297">
            <v>2972.36</v>
          </cell>
          <cell r="D297">
            <v>2675.94</v>
          </cell>
          <cell r="E297">
            <v>2972.36</v>
          </cell>
          <cell r="F297">
            <v>297</v>
          </cell>
          <cell r="G297">
            <v>0.9</v>
          </cell>
          <cell r="H297">
            <v>0.89300000000000002</v>
          </cell>
          <cell r="I297">
            <v>0.9</v>
          </cell>
          <cell r="J297" t="str">
            <v>M3A-M3B</v>
          </cell>
          <cell r="K297" t="str">
            <v>CRAVO NORTE</v>
          </cell>
          <cell r="L297" t="str">
            <v>CRAVO NORTE</v>
          </cell>
          <cell r="M297" t="str">
            <v>CRAVO NORTE</v>
          </cell>
        </row>
        <row r="298">
          <cell r="B298" t="str">
            <v>LY-168</v>
          </cell>
          <cell r="C298">
            <v>6797.08</v>
          </cell>
          <cell r="D298">
            <v>7122.4</v>
          </cell>
          <cell r="E298">
            <v>6797.08</v>
          </cell>
          <cell r="F298">
            <v>43</v>
          </cell>
          <cell r="G298">
            <v>0.99370000000000003</v>
          </cell>
          <cell r="H298">
            <v>0.99299999999999999</v>
          </cell>
          <cell r="I298">
            <v>0.99370000000000003</v>
          </cell>
          <cell r="J298" t="str">
            <v>M1B</v>
          </cell>
          <cell r="K298" t="str">
            <v>CRAVO NORTE</v>
          </cell>
          <cell r="L298" t="str">
            <v>CRAVO NORTE</v>
          </cell>
          <cell r="M298" t="str">
            <v>CRAVO NORTE</v>
          </cell>
        </row>
        <row r="299">
          <cell r="B299" t="str">
            <v>LY-172</v>
          </cell>
          <cell r="C299">
            <v>3189.01</v>
          </cell>
          <cell r="D299">
            <v>3450.06</v>
          </cell>
          <cell r="E299">
            <v>3189.01</v>
          </cell>
          <cell r="F299">
            <v>26</v>
          </cell>
          <cell r="G299">
            <v>0.99199999999999999</v>
          </cell>
          <cell r="H299">
            <v>0.99219999999999997</v>
          </cell>
          <cell r="I299">
            <v>0.99199999999999999</v>
          </cell>
          <cell r="J299" t="str">
            <v>N/A</v>
          </cell>
          <cell r="K299" t="str">
            <v>CRAVO NORTE</v>
          </cell>
          <cell r="L299" t="str">
            <v>CRAVO NORTE</v>
          </cell>
          <cell r="M299" t="str">
            <v>CRAVO NORTE</v>
          </cell>
        </row>
        <row r="300">
          <cell r="B300" t="str">
            <v>LY-173</v>
          </cell>
          <cell r="C300">
            <v>19079.8</v>
          </cell>
          <cell r="D300">
            <v>19932.259999999998</v>
          </cell>
          <cell r="E300">
            <v>19079.8</v>
          </cell>
          <cell r="F300">
            <v>67</v>
          </cell>
          <cell r="G300">
            <v>0.99650000000000005</v>
          </cell>
          <cell r="H300">
            <v>0.99650000000000005</v>
          </cell>
          <cell r="I300">
            <v>0.99650000000000005</v>
          </cell>
          <cell r="J300" t="str">
            <v>M3C-M4S</v>
          </cell>
          <cell r="K300" t="str">
            <v>CRAVO NORTE</v>
          </cell>
          <cell r="L300" t="str">
            <v>CRAVO NORTE</v>
          </cell>
          <cell r="M300" t="str">
            <v>CRAVO NORTE</v>
          </cell>
        </row>
        <row r="301">
          <cell r="B301" t="str">
            <v>LY-174</v>
          </cell>
          <cell r="C301">
            <v>2060</v>
          </cell>
          <cell r="D301">
            <v>2200.7199999999998</v>
          </cell>
          <cell r="E301">
            <v>2060</v>
          </cell>
          <cell r="F301">
            <v>31</v>
          </cell>
          <cell r="G301">
            <v>0.98499999999999999</v>
          </cell>
          <cell r="H301">
            <v>0.97900000000000009</v>
          </cell>
          <cell r="I301">
            <v>0.98499999999999999</v>
          </cell>
          <cell r="J301" t="str">
            <v>C5b</v>
          </cell>
          <cell r="K301" t="str">
            <v>CRAVO NORTE</v>
          </cell>
          <cell r="L301" t="str">
            <v>CRAVO NORTE</v>
          </cell>
          <cell r="M301" t="str">
            <v>CRAVO NORTE</v>
          </cell>
        </row>
        <row r="302">
          <cell r="B302" t="str">
            <v>LY-175</v>
          </cell>
          <cell r="C302">
            <v>14735.44</v>
          </cell>
          <cell r="D302">
            <v>9426.58</v>
          </cell>
          <cell r="E302">
            <v>14735.44</v>
          </cell>
          <cell r="F302">
            <v>72</v>
          </cell>
          <cell r="G302">
            <v>0.9951000000000001</v>
          </cell>
          <cell r="H302">
            <v>0.995</v>
          </cell>
          <cell r="I302">
            <v>0.9951000000000001</v>
          </cell>
          <cell r="J302" t="str">
            <v>M2B</v>
          </cell>
          <cell r="K302" t="str">
            <v>CRAVO NORTE</v>
          </cell>
          <cell r="L302" t="str">
            <v>CRAVO NORTE</v>
          </cell>
          <cell r="M302" t="str">
            <v>CRAVO NORTE</v>
          </cell>
        </row>
        <row r="303">
          <cell r="B303" t="str">
            <v>LY-176</v>
          </cell>
          <cell r="C303">
            <v>115</v>
          </cell>
          <cell r="D303">
            <v>115</v>
          </cell>
          <cell r="E303">
            <v>0</v>
          </cell>
          <cell r="F303">
            <v>28</v>
          </cell>
          <cell r="G303">
            <v>0.76</v>
          </cell>
          <cell r="H303">
            <v>0.76</v>
          </cell>
          <cell r="I303">
            <v>0</v>
          </cell>
          <cell r="J303" t="str">
            <v>C5c</v>
          </cell>
          <cell r="K303" t="str">
            <v>CRAVO NORTE</v>
          </cell>
          <cell r="L303" t="str">
            <v>CRAVO NORTE</v>
          </cell>
          <cell r="M303">
            <v>0</v>
          </cell>
        </row>
        <row r="304">
          <cell r="B304" t="str">
            <v>LY-177</v>
          </cell>
          <cell r="C304">
            <v>2996.31</v>
          </cell>
          <cell r="D304">
            <v>2981.07</v>
          </cell>
          <cell r="E304">
            <v>2996.31</v>
          </cell>
          <cell r="F304">
            <v>97</v>
          </cell>
          <cell r="G304">
            <v>0.96750000000000003</v>
          </cell>
          <cell r="H304">
            <v>0.96750000000000003</v>
          </cell>
          <cell r="I304">
            <v>0.96750000000000003</v>
          </cell>
          <cell r="J304" t="str">
            <v>C5c</v>
          </cell>
          <cell r="K304" t="str">
            <v>CRAVO NORTE</v>
          </cell>
          <cell r="L304" t="str">
            <v>CRAVO NORTE</v>
          </cell>
          <cell r="M304" t="str">
            <v>CRAVO NORTE</v>
          </cell>
        </row>
        <row r="305">
          <cell r="B305" t="str">
            <v>LY-179</v>
          </cell>
          <cell r="C305">
            <v>2140</v>
          </cell>
          <cell r="D305">
            <v>2050</v>
          </cell>
          <cell r="E305">
            <v>2140</v>
          </cell>
          <cell r="F305">
            <v>56</v>
          </cell>
          <cell r="G305">
            <v>0.97400000000000009</v>
          </cell>
          <cell r="H305">
            <v>0.97499999999999998</v>
          </cell>
          <cell r="I305">
            <v>0.97400000000000009</v>
          </cell>
          <cell r="J305" t="str">
            <v>C5b-C5c</v>
          </cell>
          <cell r="K305" t="str">
            <v>CRAVO NORTE</v>
          </cell>
          <cell r="L305" t="str">
            <v>CRAVO NORTE</v>
          </cell>
          <cell r="M305" t="str">
            <v>CRAVO NORTE</v>
          </cell>
        </row>
        <row r="306">
          <cell r="B306" t="str">
            <v>LY-180</v>
          </cell>
          <cell r="C306">
            <v>7032.11</v>
          </cell>
          <cell r="D306">
            <v>7821.02</v>
          </cell>
          <cell r="E306">
            <v>7032.11</v>
          </cell>
          <cell r="F306">
            <v>44</v>
          </cell>
          <cell r="G306">
            <v>0.99379999999999991</v>
          </cell>
          <cell r="H306">
            <v>0.99250000000000005</v>
          </cell>
          <cell r="I306">
            <v>0.99379999999999991</v>
          </cell>
          <cell r="J306" t="str">
            <v>M2A0</v>
          </cell>
          <cell r="K306" t="str">
            <v>CRAVO NORTE</v>
          </cell>
          <cell r="L306" t="str">
            <v>CRAVO NORTE</v>
          </cell>
          <cell r="M306" t="str">
            <v>CRAVO NORTE</v>
          </cell>
        </row>
        <row r="307">
          <cell r="B307" t="str">
            <v>LY-182</v>
          </cell>
          <cell r="C307">
            <v>3508.5</v>
          </cell>
          <cell r="D307">
            <v>3651.81</v>
          </cell>
          <cell r="E307">
            <v>3508.5</v>
          </cell>
          <cell r="F307">
            <v>35</v>
          </cell>
          <cell r="G307">
            <v>0.99</v>
          </cell>
          <cell r="H307">
            <v>0.98909999999999998</v>
          </cell>
          <cell r="I307">
            <v>0.99</v>
          </cell>
          <cell r="J307" t="str">
            <v>K1A2_Upper</v>
          </cell>
          <cell r="K307" t="str">
            <v>CRAVO NORTE</v>
          </cell>
          <cell r="L307" t="str">
            <v>CRAVO NORTE</v>
          </cell>
          <cell r="M307" t="str">
            <v>CRAVO NORTE</v>
          </cell>
        </row>
        <row r="308">
          <cell r="B308" t="str">
            <v>LY-183</v>
          </cell>
          <cell r="C308">
            <v>1950</v>
          </cell>
          <cell r="D308">
            <v>1700</v>
          </cell>
          <cell r="E308">
            <v>1950</v>
          </cell>
          <cell r="F308">
            <v>195</v>
          </cell>
          <cell r="G308">
            <v>0.9</v>
          </cell>
          <cell r="H308">
            <v>0.92</v>
          </cell>
          <cell r="I308">
            <v>0.9</v>
          </cell>
          <cell r="J308" t="str">
            <v>C5a-M1A1</v>
          </cell>
          <cell r="K308" t="str">
            <v>CRAVO NORTE</v>
          </cell>
          <cell r="L308" t="str">
            <v>CRAVO NORTE</v>
          </cell>
          <cell r="M308" t="str">
            <v>CRAVO NORTE</v>
          </cell>
        </row>
        <row r="309">
          <cell r="B309" t="str">
            <v>LY-184</v>
          </cell>
          <cell r="C309">
            <v>1717</v>
          </cell>
          <cell r="D309">
            <v>1806.66</v>
          </cell>
          <cell r="E309">
            <v>1717</v>
          </cell>
          <cell r="F309">
            <v>55</v>
          </cell>
          <cell r="G309">
            <v>0.96799999999999997</v>
          </cell>
          <cell r="H309">
            <v>0.96599999999999997</v>
          </cell>
          <cell r="I309">
            <v>0.96799999999999997</v>
          </cell>
          <cell r="J309" t="str">
            <v>M4S</v>
          </cell>
          <cell r="K309" t="str">
            <v>CRAVO NORTE</v>
          </cell>
          <cell r="L309" t="str">
            <v>CRAVO NORTE</v>
          </cell>
          <cell r="M309" t="str">
            <v>CRAVO NORTE</v>
          </cell>
        </row>
        <row r="310">
          <cell r="B310" t="str">
            <v>LY-185</v>
          </cell>
          <cell r="C310">
            <v>21531.08</v>
          </cell>
          <cell r="D310">
            <v>22596.67</v>
          </cell>
          <cell r="E310">
            <v>21531.08</v>
          </cell>
          <cell r="F310">
            <v>99</v>
          </cell>
          <cell r="G310">
            <v>0.99540000000000006</v>
          </cell>
          <cell r="H310">
            <v>0.99540000000000006</v>
          </cell>
          <cell r="I310">
            <v>0.99540000000000006</v>
          </cell>
          <cell r="J310" t="str">
            <v>M1A1</v>
          </cell>
          <cell r="K310" t="str">
            <v>CRAVO NORTE</v>
          </cell>
          <cell r="L310" t="str">
            <v>CRAVO NORTE</v>
          </cell>
          <cell r="M310" t="str">
            <v>CRAVO NORTE</v>
          </cell>
        </row>
        <row r="311">
          <cell r="B311" t="str">
            <v>LY-186</v>
          </cell>
          <cell r="C311">
            <v>4020</v>
          </cell>
          <cell r="D311">
            <v>3627.12</v>
          </cell>
          <cell r="E311">
            <v>4020</v>
          </cell>
          <cell r="F311">
            <v>88</v>
          </cell>
          <cell r="G311">
            <v>0.97819999999999996</v>
          </cell>
          <cell r="H311">
            <v>0.97030000000000005</v>
          </cell>
          <cell r="I311">
            <v>0.97819999999999996</v>
          </cell>
          <cell r="J311" t="str">
            <v>K1C1</v>
          </cell>
          <cell r="K311" t="str">
            <v>CRAVO NORTE</v>
          </cell>
          <cell r="L311" t="str">
            <v>CRAVO NORTE</v>
          </cell>
          <cell r="M311" t="str">
            <v>CRAVO NORTE</v>
          </cell>
        </row>
        <row r="312">
          <cell r="B312" t="str">
            <v>LY-188</v>
          </cell>
          <cell r="C312">
            <v>8965.8799999999992</v>
          </cell>
          <cell r="D312">
            <v>9694.67</v>
          </cell>
          <cell r="E312">
            <v>8965.8799999999992</v>
          </cell>
          <cell r="F312">
            <v>16</v>
          </cell>
          <cell r="G312">
            <v>0.99819999999999998</v>
          </cell>
          <cell r="H312">
            <v>0.99819999999999998</v>
          </cell>
          <cell r="I312">
            <v>0.99819999999999998</v>
          </cell>
          <cell r="J312" t="str">
            <v>M3B</v>
          </cell>
          <cell r="K312" t="str">
            <v>CRAVO NORTE</v>
          </cell>
          <cell r="L312" t="str">
            <v>CRAVO NORTE</v>
          </cell>
          <cell r="M312" t="str">
            <v>CRAVO NORTE</v>
          </cell>
        </row>
        <row r="313">
          <cell r="B313" t="str">
            <v>LY-189</v>
          </cell>
          <cell r="C313">
            <v>2332.42</v>
          </cell>
          <cell r="D313">
            <v>18433.13</v>
          </cell>
          <cell r="E313">
            <v>2332.42</v>
          </cell>
          <cell r="F313">
            <v>3</v>
          </cell>
          <cell r="G313">
            <v>0.99850000000000005</v>
          </cell>
          <cell r="H313">
            <v>0.99850000000000005</v>
          </cell>
          <cell r="I313">
            <v>0.97499999999999998</v>
          </cell>
          <cell r="J313" t="str">
            <v>M1A1</v>
          </cell>
          <cell r="K313" t="str">
            <v>CRAVO NORTE</v>
          </cell>
          <cell r="L313" t="str">
            <v>CRAVO NORTE</v>
          </cell>
          <cell r="M313" t="str">
            <v>CRAVO NORTE</v>
          </cell>
        </row>
        <row r="314">
          <cell r="B314" t="str">
            <v>LY-194</v>
          </cell>
          <cell r="C314">
            <v>1079.8800000000001</v>
          </cell>
          <cell r="D314">
            <v>1010.85</v>
          </cell>
          <cell r="E314">
            <v>1079.8800000000001</v>
          </cell>
          <cell r="F314">
            <v>19</v>
          </cell>
          <cell r="G314">
            <v>0.98199999999999998</v>
          </cell>
          <cell r="H314">
            <v>0.97549999999999992</v>
          </cell>
          <cell r="I314">
            <v>0.98199999999999998</v>
          </cell>
          <cell r="J314" t="str">
            <v>K1B2_Upper</v>
          </cell>
          <cell r="K314" t="str">
            <v>CRAVO NORTE</v>
          </cell>
          <cell r="L314" t="str">
            <v>CRAVO NORTE</v>
          </cell>
          <cell r="M314" t="str">
            <v>CRAVO NORTE</v>
          </cell>
        </row>
        <row r="315">
          <cell r="B315" t="str">
            <v>LY-195</v>
          </cell>
          <cell r="C315">
            <v>10446.84</v>
          </cell>
          <cell r="D315">
            <v>10446.84</v>
          </cell>
          <cell r="E315">
            <v>0</v>
          </cell>
          <cell r="F315">
            <v>49</v>
          </cell>
          <cell r="G315">
            <v>0.99529999999999996</v>
          </cell>
          <cell r="H315">
            <v>0.99529999999999996</v>
          </cell>
          <cell r="I315">
            <v>0</v>
          </cell>
          <cell r="J315" t="str">
            <v>M2A1-M2A0-GUAFITA</v>
          </cell>
          <cell r="K315" t="str">
            <v>CRAVO NORTE</v>
          </cell>
          <cell r="L315" t="str">
            <v>CRAVO NORTE</v>
          </cell>
          <cell r="M315">
            <v>0</v>
          </cell>
        </row>
        <row r="316">
          <cell r="B316" t="str">
            <v>LY-196</v>
          </cell>
          <cell r="C316">
            <v>4076.15</v>
          </cell>
          <cell r="D316">
            <v>4150.99</v>
          </cell>
          <cell r="E316">
            <v>4076.15</v>
          </cell>
          <cell r="F316">
            <v>16</v>
          </cell>
          <cell r="G316">
            <v>0.99609999999999999</v>
          </cell>
          <cell r="H316">
            <v>0.99609999999999999</v>
          </cell>
          <cell r="I316">
            <v>0.99609999999999999</v>
          </cell>
          <cell r="J316" t="str">
            <v>N/A</v>
          </cell>
          <cell r="K316" t="str">
            <v>CRAVO NORTE</v>
          </cell>
          <cell r="L316" t="str">
            <v>CRAVO NORTE</v>
          </cell>
          <cell r="M316" t="str">
            <v>CRAVO NORTE</v>
          </cell>
        </row>
        <row r="317">
          <cell r="B317" t="str">
            <v>LY-197</v>
          </cell>
          <cell r="C317">
            <v>1751.46</v>
          </cell>
          <cell r="D317">
            <v>840</v>
          </cell>
          <cell r="E317">
            <v>1751.46</v>
          </cell>
          <cell r="F317">
            <v>39</v>
          </cell>
          <cell r="G317">
            <v>0.97799999999999998</v>
          </cell>
          <cell r="H317">
            <v>1</v>
          </cell>
          <cell r="I317">
            <v>0.97799999999999998</v>
          </cell>
          <cell r="J317" t="str">
            <v>M1A1</v>
          </cell>
          <cell r="K317" t="str">
            <v>CRAVO NORTE</v>
          </cell>
          <cell r="L317" t="str">
            <v>CRAVO NORTE</v>
          </cell>
          <cell r="M317" t="str">
            <v>CRAVO NORTE</v>
          </cell>
        </row>
        <row r="318">
          <cell r="B318" t="str">
            <v>LY-199</v>
          </cell>
          <cell r="C318">
            <v>2563.89</v>
          </cell>
          <cell r="D318">
            <v>2460</v>
          </cell>
          <cell r="E318">
            <v>2563.89</v>
          </cell>
          <cell r="F318">
            <v>54</v>
          </cell>
          <cell r="G318">
            <v>0.97900000000000009</v>
          </cell>
          <cell r="H318">
            <v>0.97499999999999998</v>
          </cell>
          <cell r="I318">
            <v>0.97900000000000009</v>
          </cell>
          <cell r="J318" t="str">
            <v>N/A</v>
          </cell>
          <cell r="K318" t="str">
            <v>CRAVO NORTE</v>
          </cell>
          <cell r="L318" t="str">
            <v>CRAVO NORTE</v>
          </cell>
          <cell r="M318" t="str">
            <v>CRAVO NORTE</v>
          </cell>
        </row>
        <row r="319">
          <cell r="B319" t="str">
            <v>LY-200</v>
          </cell>
          <cell r="C319">
            <v>2732.38</v>
          </cell>
          <cell r="D319">
            <v>2788.72</v>
          </cell>
          <cell r="E319">
            <v>2732.38</v>
          </cell>
          <cell r="F319">
            <v>82</v>
          </cell>
          <cell r="G319">
            <v>0.97</v>
          </cell>
          <cell r="H319">
            <v>0.97</v>
          </cell>
          <cell r="I319">
            <v>0.97</v>
          </cell>
          <cell r="J319" t="str">
            <v>M2B</v>
          </cell>
          <cell r="K319" t="str">
            <v>CRAVO NORTE</v>
          </cell>
          <cell r="L319" t="str">
            <v>CRAVO NORTE</v>
          </cell>
          <cell r="M319" t="str">
            <v>CRAVO NORTE</v>
          </cell>
        </row>
        <row r="320">
          <cell r="B320" t="str">
            <v>LY-201</v>
          </cell>
          <cell r="C320">
            <v>1997.57</v>
          </cell>
          <cell r="D320">
            <v>2037.55</v>
          </cell>
          <cell r="E320">
            <v>1997.57</v>
          </cell>
          <cell r="F320">
            <v>74</v>
          </cell>
          <cell r="G320">
            <v>0.96299999999999997</v>
          </cell>
          <cell r="H320">
            <v>0.96</v>
          </cell>
          <cell r="I320">
            <v>0.96299999999999997</v>
          </cell>
          <cell r="J320" t="str">
            <v>C5dA</v>
          </cell>
          <cell r="K320" t="str">
            <v>CRAVO NORTE</v>
          </cell>
          <cell r="L320" t="str">
            <v>CRAVO NORTE</v>
          </cell>
          <cell r="M320" t="str">
            <v>CRAVO NORTE</v>
          </cell>
        </row>
        <row r="321">
          <cell r="B321" t="str">
            <v>LY-202</v>
          </cell>
          <cell r="C321">
            <v>3435.04</v>
          </cell>
          <cell r="D321">
            <v>3863.96</v>
          </cell>
          <cell r="E321">
            <v>3435.04</v>
          </cell>
          <cell r="F321">
            <v>48</v>
          </cell>
          <cell r="G321">
            <v>0.98599999999999999</v>
          </cell>
          <cell r="H321">
            <v>0.98599999999999999</v>
          </cell>
          <cell r="I321">
            <v>0.98599999999999999</v>
          </cell>
          <cell r="J321" t="str">
            <v>K1B1_ower</v>
          </cell>
          <cell r="K321" t="str">
            <v>CRAVO NORTE</v>
          </cell>
          <cell r="L321" t="str">
            <v>CRAVO NORTE</v>
          </cell>
          <cell r="M321" t="str">
            <v>CRAVO NORTE</v>
          </cell>
        </row>
        <row r="322">
          <cell r="B322" t="str">
            <v>LY-203</v>
          </cell>
          <cell r="C322">
            <v>2212.17</v>
          </cell>
          <cell r="D322">
            <v>2212.17</v>
          </cell>
          <cell r="E322">
            <v>0</v>
          </cell>
          <cell r="F322">
            <v>177</v>
          </cell>
          <cell r="G322">
            <v>0.92</v>
          </cell>
          <cell r="H322">
            <v>0.92</v>
          </cell>
          <cell r="I322">
            <v>0</v>
          </cell>
          <cell r="J322" t="str">
            <v>K1A2_Upper</v>
          </cell>
          <cell r="K322" t="str">
            <v>CRAVO NORTE</v>
          </cell>
          <cell r="L322" t="str">
            <v>CRAVO NORTE</v>
          </cell>
          <cell r="M322">
            <v>0</v>
          </cell>
        </row>
        <row r="323">
          <cell r="B323" t="str">
            <v>LY-206</v>
          </cell>
          <cell r="C323">
            <v>4760.3599999999997</v>
          </cell>
          <cell r="D323">
            <v>5173.18</v>
          </cell>
          <cell r="E323">
            <v>4760.3599999999997</v>
          </cell>
          <cell r="F323">
            <v>27</v>
          </cell>
          <cell r="G323">
            <v>0.99430000000000007</v>
          </cell>
          <cell r="H323">
            <v>0.99430000000000007</v>
          </cell>
          <cell r="I323">
            <v>0.99430000000000007</v>
          </cell>
          <cell r="J323" t="str">
            <v>N/A</v>
          </cell>
          <cell r="K323" t="str">
            <v>CRAVO NORTE</v>
          </cell>
          <cell r="L323" t="str">
            <v>CRAVO NORTE</v>
          </cell>
          <cell r="M323" t="str">
            <v>CRAVO NORTE</v>
          </cell>
        </row>
        <row r="324">
          <cell r="B324" t="str">
            <v>LY-207</v>
          </cell>
          <cell r="C324">
            <v>3434.7</v>
          </cell>
          <cell r="D324">
            <v>3456.9</v>
          </cell>
          <cell r="E324">
            <v>3434.7</v>
          </cell>
          <cell r="F324">
            <v>53</v>
          </cell>
          <cell r="G324">
            <v>0.98470000000000002</v>
          </cell>
          <cell r="H324">
            <v>0.98599999999999999</v>
          </cell>
          <cell r="I324">
            <v>0.98470000000000002</v>
          </cell>
          <cell r="J324" t="str">
            <v>K1C2</v>
          </cell>
          <cell r="K324" t="str">
            <v>CRAVO NORTE</v>
          </cell>
          <cell r="L324" t="str">
            <v>CRAVO NORTE</v>
          </cell>
          <cell r="M324" t="str">
            <v>CRAVO NORTE</v>
          </cell>
        </row>
        <row r="325">
          <cell r="B325" t="str">
            <v>LY-209</v>
          </cell>
          <cell r="C325">
            <v>8081.43</v>
          </cell>
          <cell r="D325">
            <v>8081.43</v>
          </cell>
          <cell r="E325">
            <v>8081.43</v>
          </cell>
          <cell r="F325">
            <v>78</v>
          </cell>
          <cell r="G325">
            <v>0.99040000000000006</v>
          </cell>
          <cell r="H325">
            <v>0.99040000000000006</v>
          </cell>
          <cell r="I325">
            <v>0</v>
          </cell>
          <cell r="J325" t="str">
            <v>M1A1-M1A2</v>
          </cell>
          <cell r="K325" t="str">
            <v>CRAVO NORTE</v>
          </cell>
          <cell r="L325" t="str">
            <v>CRAVO NORTE</v>
          </cell>
          <cell r="M325">
            <v>0</v>
          </cell>
        </row>
        <row r="326">
          <cell r="B326" t="str">
            <v>LY-211</v>
          </cell>
          <cell r="C326">
            <v>14975.11</v>
          </cell>
          <cell r="D326">
            <v>15559.04</v>
          </cell>
          <cell r="E326">
            <v>14975.11</v>
          </cell>
          <cell r="F326">
            <v>67</v>
          </cell>
          <cell r="G326">
            <v>0.99549999999999994</v>
          </cell>
          <cell r="H326">
            <v>0.99230000000000007</v>
          </cell>
          <cell r="I326">
            <v>0.99549999999999994</v>
          </cell>
          <cell r="J326" t="str">
            <v>M1A1</v>
          </cell>
          <cell r="K326" t="str">
            <v>CRAVO NORTE</v>
          </cell>
          <cell r="L326" t="str">
            <v>CRAVO NORTE</v>
          </cell>
          <cell r="M326" t="str">
            <v>CRAVO NORTE</v>
          </cell>
        </row>
        <row r="327">
          <cell r="B327" t="str">
            <v>LY-212</v>
          </cell>
          <cell r="C327">
            <v>1295.8599999999999</v>
          </cell>
          <cell r="D327">
            <v>700</v>
          </cell>
          <cell r="E327">
            <v>1295.8599999999999</v>
          </cell>
          <cell r="F327">
            <v>19</v>
          </cell>
          <cell r="G327">
            <v>0.98499999999999999</v>
          </cell>
          <cell r="H327">
            <v>1</v>
          </cell>
          <cell r="I327">
            <v>0.98499999999999999</v>
          </cell>
          <cell r="J327" t="str">
            <v>N/A</v>
          </cell>
          <cell r="K327" t="str">
            <v>CRAVO NORTE</v>
          </cell>
          <cell r="L327" t="str">
            <v>CRAVO NORTE</v>
          </cell>
          <cell r="M327" t="str">
            <v>CRAVO NORTE</v>
          </cell>
        </row>
        <row r="328">
          <cell r="B328" t="str">
            <v>LY-214</v>
          </cell>
          <cell r="C328">
            <v>2620</v>
          </cell>
          <cell r="D328">
            <v>2620</v>
          </cell>
          <cell r="E328">
            <v>0</v>
          </cell>
          <cell r="F328">
            <v>3</v>
          </cell>
          <cell r="G328">
            <v>0.99900000000000011</v>
          </cell>
          <cell r="H328">
            <v>0.99900000000000011</v>
          </cell>
          <cell r="I328">
            <v>0</v>
          </cell>
          <cell r="J328" t="str">
            <v>K1C2</v>
          </cell>
          <cell r="K328" t="str">
            <v>CRAVO NORTE</v>
          </cell>
          <cell r="L328" t="str">
            <v>CRAVO NORTE</v>
          </cell>
          <cell r="M328">
            <v>0</v>
          </cell>
        </row>
        <row r="329">
          <cell r="B329" t="str">
            <v>LY-215</v>
          </cell>
          <cell r="C329">
            <v>3947.78</v>
          </cell>
          <cell r="D329">
            <v>4106.3100000000004</v>
          </cell>
          <cell r="E329">
            <v>3947.78</v>
          </cell>
          <cell r="F329">
            <v>67</v>
          </cell>
          <cell r="G329">
            <v>0.98299999999999998</v>
          </cell>
          <cell r="H329">
            <v>0.98250000000000004</v>
          </cell>
          <cell r="I329">
            <v>0.98299999999999998</v>
          </cell>
          <cell r="J329" t="str">
            <v>K1A2_Upper</v>
          </cell>
          <cell r="K329" t="str">
            <v>CRAVO NORTE</v>
          </cell>
          <cell r="L329" t="str">
            <v>CRAVO NORTE</v>
          </cell>
          <cell r="M329" t="str">
            <v>CRAVO NORTE</v>
          </cell>
        </row>
        <row r="330">
          <cell r="B330" t="str">
            <v>LY-216</v>
          </cell>
          <cell r="C330">
            <v>9263.66</v>
          </cell>
          <cell r="D330">
            <v>9857.39</v>
          </cell>
          <cell r="E330">
            <v>9263.66</v>
          </cell>
          <cell r="F330">
            <v>51</v>
          </cell>
          <cell r="G330">
            <v>0.99450000000000005</v>
          </cell>
          <cell r="H330">
            <v>0.99450000000000005</v>
          </cell>
          <cell r="I330">
            <v>0.99450000000000005</v>
          </cell>
          <cell r="J330" t="str">
            <v>M1A1</v>
          </cell>
          <cell r="K330" t="str">
            <v>CRAVO NORTE</v>
          </cell>
          <cell r="L330" t="str">
            <v>CRAVO NORTE</v>
          </cell>
          <cell r="M330" t="str">
            <v>CRAVO NORTE</v>
          </cell>
        </row>
        <row r="331">
          <cell r="B331" t="str">
            <v>LY-217</v>
          </cell>
          <cell r="C331">
            <v>7776.09</v>
          </cell>
          <cell r="D331">
            <v>8499.9599999999991</v>
          </cell>
          <cell r="E331">
            <v>7776.09</v>
          </cell>
          <cell r="F331">
            <v>56</v>
          </cell>
          <cell r="G331">
            <v>0.99280000000000002</v>
          </cell>
          <cell r="H331">
            <v>0.9899</v>
          </cell>
          <cell r="I331">
            <v>0.99280000000000002</v>
          </cell>
          <cell r="J331" t="str">
            <v>M1A1</v>
          </cell>
          <cell r="K331" t="str">
            <v>CRAVO NORTE</v>
          </cell>
          <cell r="L331" t="str">
            <v>CRAVO NORTE</v>
          </cell>
          <cell r="M331" t="str">
            <v>CRAVO NORTE</v>
          </cell>
        </row>
        <row r="332">
          <cell r="B332" t="str">
            <v>LY-218</v>
          </cell>
          <cell r="C332">
            <v>1500</v>
          </cell>
          <cell r="D332">
            <v>1380.13</v>
          </cell>
          <cell r="E332">
            <v>1500</v>
          </cell>
          <cell r="F332">
            <v>53</v>
          </cell>
          <cell r="G332">
            <v>0.96499999999999997</v>
          </cell>
          <cell r="H332">
            <v>0.96499999999999997</v>
          </cell>
          <cell r="I332">
            <v>0.96499999999999997</v>
          </cell>
          <cell r="J332" t="str">
            <v>C5b</v>
          </cell>
          <cell r="K332" t="str">
            <v>CRAVO NORTE</v>
          </cell>
          <cell r="L332" t="str">
            <v>CRAVO NORTE</v>
          </cell>
          <cell r="M332" t="str">
            <v>CRAVO NORTE</v>
          </cell>
        </row>
        <row r="333">
          <cell r="B333" t="str">
            <v>LY-219</v>
          </cell>
          <cell r="C333">
            <v>7891.6</v>
          </cell>
          <cell r="D333">
            <v>8160.62</v>
          </cell>
          <cell r="E333">
            <v>7891.6</v>
          </cell>
          <cell r="F333">
            <v>39</v>
          </cell>
          <cell r="G333">
            <v>0.995</v>
          </cell>
          <cell r="H333">
            <v>0.995</v>
          </cell>
          <cell r="I333">
            <v>0.995</v>
          </cell>
          <cell r="J333" t="str">
            <v>M2B</v>
          </cell>
          <cell r="K333" t="str">
            <v>CRAVO NORTE</v>
          </cell>
          <cell r="L333" t="str">
            <v>CRAVO NORTE</v>
          </cell>
          <cell r="M333" t="str">
            <v>CRAVO NORTE</v>
          </cell>
        </row>
        <row r="334">
          <cell r="B334" t="str">
            <v>LY-220</v>
          </cell>
          <cell r="C334">
            <v>4377.29</v>
          </cell>
          <cell r="D334">
            <v>4443.1499999999996</v>
          </cell>
          <cell r="E334">
            <v>4377.29</v>
          </cell>
          <cell r="F334">
            <v>88</v>
          </cell>
          <cell r="G334">
            <v>0.98</v>
          </cell>
          <cell r="H334">
            <v>0.97699999999999998</v>
          </cell>
          <cell r="I334">
            <v>0.98</v>
          </cell>
          <cell r="J334" t="str">
            <v>K1C2</v>
          </cell>
          <cell r="K334" t="str">
            <v>CRAVO NORTE</v>
          </cell>
          <cell r="L334" t="str">
            <v>CRAVO NORTE</v>
          </cell>
          <cell r="M334" t="str">
            <v>CRAVO NORTE</v>
          </cell>
        </row>
        <row r="335">
          <cell r="B335" t="str">
            <v>LY-221</v>
          </cell>
          <cell r="C335">
            <v>8124.57</v>
          </cell>
          <cell r="D335">
            <v>8752.82</v>
          </cell>
          <cell r="E335">
            <v>8124.57</v>
          </cell>
          <cell r="F335">
            <v>63</v>
          </cell>
          <cell r="G335">
            <v>0.99230000000000007</v>
          </cell>
          <cell r="H335">
            <v>0.99120000000000008</v>
          </cell>
          <cell r="I335">
            <v>0.99230000000000007</v>
          </cell>
          <cell r="J335" t="str">
            <v>K1B2_Upper</v>
          </cell>
          <cell r="K335" t="str">
            <v>CRAVO NORTE</v>
          </cell>
          <cell r="L335" t="str">
            <v>CRAVO NORTE</v>
          </cell>
          <cell r="M335" t="str">
            <v>CRAVO NORTE</v>
          </cell>
        </row>
        <row r="336">
          <cell r="B336" t="str">
            <v>LY-223</v>
          </cell>
          <cell r="C336">
            <v>1078.01</v>
          </cell>
          <cell r="D336">
            <v>1053.33</v>
          </cell>
          <cell r="E336">
            <v>1078.01</v>
          </cell>
          <cell r="F336">
            <v>86</v>
          </cell>
          <cell r="G336">
            <v>0.92</v>
          </cell>
          <cell r="H336">
            <v>0.92</v>
          </cell>
          <cell r="I336">
            <v>0.92</v>
          </cell>
          <cell r="J336" t="str">
            <v>C5a</v>
          </cell>
          <cell r="K336" t="str">
            <v>CRAVO NORTE</v>
          </cell>
          <cell r="L336" t="str">
            <v>CRAVO NORTE</v>
          </cell>
          <cell r="M336" t="str">
            <v>CRAVO NORTE</v>
          </cell>
        </row>
        <row r="337">
          <cell r="B337" t="str">
            <v>LY-224</v>
          </cell>
          <cell r="C337">
            <v>630.99</v>
          </cell>
          <cell r="D337">
            <v>725.76</v>
          </cell>
          <cell r="E337">
            <v>630.99</v>
          </cell>
          <cell r="F337">
            <v>104</v>
          </cell>
          <cell r="G337">
            <v>0.83499999999999996</v>
          </cell>
          <cell r="H337">
            <v>0.70499999999999996</v>
          </cell>
          <cell r="I337">
            <v>0.83499999999999996</v>
          </cell>
          <cell r="J337" t="str">
            <v>C5a</v>
          </cell>
          <cell r="K337" t="str">
            <v>CRAVO NORTE</v>
          </cell>
          <cell r="L337" t="str">
            <v>CRAVO NORTE</v>
          </cell>
          <cell r="M337" t="str">
            <v>CRAVO NORTE</v>
          </cell>
        </row>
        <row r="338">
          <cell r="B338" t="str">
            <v>LY-225</v>
          </cell>
          <cell r="C338">
            <v>502.55</v>
          </cell>
          <cell r="D338">
            <v>519.64</v>
          </cell>
          <cell r="E338">
            <v>502.55</v>
          </cell>
          <cell r="F338">
            <v>58</v>
          </cell>
          <cell r="G338">
            <v>0.88370000000000004</v>
          </cell>
          <cell r="H338">
            <v>0.878</v>
          </cell>
          <cell r="I338">
            <v>0.88370000000000004</v>
          </cell>
          <cell r="J338" t="str">
            <v>K1C2</v>
          </cell>
          <cell r="K338" t="str">
            <v>CRAVO NORTE</v>
          </cell>
          <cell r="L338" t="str">
            <v>CRAVO NORTE</v>
          </cell>
          <cell r="M338" t="str">
            <v>CRAVO NORTE</v>
          </cell>
        </row>
        <row r="339">
          <cell r="B339" t="str">
            <v>LY-226</v>
          </cell>
          <cell r="C339">
            <v>3000</v>
          </cell>
          <cell r="D339">
            <v>4986.46</v>
          </cell>
          <cell r="E339">
            <v>3000</v>
          </cell>
          <cell r="F339">
            <v>138</v>
          </cell>
          <cell r="G339">
            <v>0.95400000000000007</v>
          </cell>
          <cell r="H339">
            <v>0.98499999999999999</v>
          </cell>
          <cell r="I339">
            <v>0.95400000000000007</v>
          </cell>
          <cell r="J339" t="str">
            <v>C5c</v>
          </cell>
          <cell r="K339" t="str">
            <v>CRAVO NORTE</v>
          </cell>
          <cell r="L339" t="str">
            <v>CRAVO NORTE</v>
          </cell>
          <cell r="M339" t="str">
            <v>CRAVO NORTE</v>
          </cell>
        </row>
        <row r="340">
          <cell r="B340" t="str">
            <v>LY-227</v>
          </cell>
          <cell r="C340">
            <v>11930.1</v>
          </cell>
          <cell r="D340">
            <v>12183.67</v>
          </cell>
          <cell r="E340">
            <v>11930.1</v>
          </cell>
          <cell r="F340">
            <v>62</v>
          </cell>
          <cell r="G340">
            <v>0.99480000000000002</v>
          </cell>
          <cell r="H340">
            <v>0.9948999999999999</v>
          </cell>
          <cell r="I340">
            <v>0.99480000000000002</v>
          </cell>
          <cell r="J340" t="str">
            <v>M2A0-M2A1</v>
          </cell>
          <cell r="K340" t="str">
            <v>CRAVO NORTE</v>
          </cell>
          <cell r="L340" t="str">
            <v>CRAVO NORTE</v>
          </cell>
          <cell r="M340" t="str">
            <v>CRAVO NORTE</v>
          </cell>
        </row>
        <row r="341">
          <cell r="B341" t="str">
            <v>LY-228</v>
          </cell>
          <cell r="C341">
            <v>7210.49</v>
          </cell>
          <cell r="D341">
            <v>10628.88</v>
          </cell>
          <cell r="E341">
            <v>7210.49</v>
          </cell>
          <cell r="F341">
            <v>82</v>
          </cell>
          <cell r="G341">
            <v>0.98860000000000003</v>
          </cell>
          <cell r="H341">
            <v>0.98790000000000011</v>
          </cell>
          <cell r="I341">
            <v>0.98860000000000003</v>
          </cell>
          <cell r="J341" t="str">
            <v>M3B</v>
          </cell>
          <cell r="K341" t="str">
            <v>CRAVO NORTE</v>
          </cell>
          <cell r="L341" t="str">
            <v>CRAVO NORTE</v>
          </cell>
          <cell r="M341" t="str">
            <v>CRAVO NORTE</v>
          </cell>
        </row>
        <row r="342">
          <cell r="B342" t="str">
            <v>LY-229</v>
          </cell>
          <cell r="C342">
            <v>2402.77</v>
          </cell>
          <cell r="D342">
            <v>2401.83</v>
          </cell>
          <cell r="E342">
            <v>2402.77</v>
          </cell>
          <cell r="F342">
            <v>34</v>
          </cell>
          <cell r="G342">
            <v>0.98599999999999999</v>
          </cell>
          <cell r="H342">
            <v>0.9890000000000001</v>
          </cell>
          <cell r="I342">
            <v>0.98599999999999999</v>
          </cell>
          <cell r="J342" t="str">
            <v>N/A</v>
          </cell>
          <cell r="K342" t="str">
            <v>CRAVO NORTE</v>
          </cell>
          <cell r="L342" t="str">
            <v>CRAVO NORTE</v>
          </cell>
          <cell r="M342" t="str">
            <v>CRAVO NORTE</v>
          </cell>
        </row>
        <row r="343">
          <cell r="B343" t="str">
            <v>LY-231</v>
          </cell>
          <cell r="C343">
            <v>8689.36</v>
          </cell>
          <cell r="D343">
            <v>8881.24</v>
          </cell>
          <cell r="E343">
            <v>8689.36</v>
          </cell>
          <cell r="F343">
            <v>82</v>
          </cell>
          <cell r="G343">
            <v>0.99060000000000004</v>
          </cell>
          <cell r="H343">
            <v>0.99029999999999996</v>
          </cell>
          <cell r="I343">
            <v>0.99060000000000004</v>
          </cell>
          <cell r="J343" t="str">
            <v>GUAFITA-M2A1</v>
          </cell>
          <cell r="K343" t="str">
            <v>CRAVO NORTE</v>
          </cell>
          <cell r="L343" t="str">
            <v>CRAVO NORTE</v>
          </cell>
          <cell r="M343" t="str">
            <v>CRAVO NORTE</v>
          </cell>
        </row>
        <row r="344">
          <cell r="B344" t="str">
            <v>LY-232</v>
          </cell>
          <cell r="C344">
            <v>3700</v>
          </cell>
          <cell r="D344">
            <v>3700</v>
          </cell>
          <cell r="E344">
            <v>0</v>
          </cell>
          <cell r="F344">
            <v>56</v>
          </cell>
          <cell r="G344">
            <v>0.98499999999999999</v>
          </cell>
          <cell r="H344">
            <v>0.98499999999999999</v>
          </cell>
          <cell r="I344">
            <v>0</v>
          </cell>
          <cell r="J344" t="str">
            <v>N/A</v>
          </cell>
          <cell r="K344" t="str">
            <v>CRAVO NORTE</v>
          </cell>
          <cell r="L344" t="str">
            <v>CRAVO NORTE</v>
          </cell>
          <cell r="M344">
            <v>0</v>
          </cell>
        </row>
        <row r="345">
          <cell r="B345" t="str">
            <v>LY-233</v>
          </cell>
          <cell r="C345">
            <v>2163.63</v>
          </cell>
          <cell r="D345">
            <v>2283.83</v>
          </cell>
          <cell r="E345">
            <v>2163.63</v>
          </cell>
          <cell r="F345">
            <v>26</v>
          </cell>
          <cell r="G345">
            <v>0.98799999999999999</v>
          </cell>
          <cell r="H345">
            <v>0.98659999999999992</v>
          </cell>
          <cell r="I345">
            <v>0.98799999999999999</v>
          </cell>
          <cell r="J345" t="str">
            <v>K1C2</v>
          </cell>
          <cell r="K345" t="str">
            <v>CRAVO NORTE</v>
          </cell>
          <cell r="L345" t="str">
            <v>CRAVO NORTE</v>
          </cell>
          <cell r="M345" t="str">
            <v>CRAVO NORTE</v>
          </cell>
        </row>
        <row r="346">
          <cell r="B346" t="str">
            <v>LY-234</v>
          </cell>
          <cell r="C346">
            <v>5077.12</v>
          </cell>
          <cell r="D346">
            <v>5239.47</v>
          </cell>
          <cell r="E346">
            <v>5077.12</v>
          </cell>
          <cell r="F346">
            <v>69</v>
          </cell>
          <cell r="G346">
            <v>0.98650000000000004</v>
          </cell>
          <cell r="H346">
            <v>0.98650000000000004</v>
          </cell>
          <cell r="I346">
            <v>0.98650000000000004</v>
          </cell>
          <cell r="J346" t="str">
            <v>C5dB-C5dA</v>
          </cell>
          <cell r="K346" t="str">
            <v>CRAVO NORTE</v>
          </cell>
          <cell r="L346" t="str">
            <v>CRAVO NORTE</v>
          </cell>
          <cell r="M346" t="str">
            <v>CRAVO NORTE</v>
          </cell>
        </row>
        <row r="347">
          <cell r="B347" t="str">
            <v>LY-235</v>
          </cell>
          <cell r="C347">
            <v>3194.22</v>
          </cell>
          <cell r="D347">
            <v>3237.95</v>
          </cell>
          <cell r="E347">
            <v>3194.22</v>
          </cell>
          <cell r="F347">
            <v>57</v>
          </cell>
          <cell r="G347">
            <v>0.98199999999999998</v>
          </cell>
          <cell r="H347">
            <v>0.97199999999999998</v>
          </cell>
          <cell r="I347">
            <v>0.98199999999999998</v>
          </cell>
          <cell r="J347" t="str">
            <v>M1A1</v>
          </cell>
          <cell r="K347" t="str">
            <v>CRAVO NORTE</v>
          </cell>
          <cell r="L347" t="str">
            <v>CRAVO NORTE</v>
          </cell>
          <cell r="M347" t="str">
            <v>CRAVO NORTE</v>
          </cell>
        </row>
        <row r="348">
          <cell r="B348" t="str">
            <v>LY-236</v>
          </cell>
          <cell r="C348">
            <v>4269.3999999999996</v>
          </cell>
          <cell r="D348">
            <v>4441.2299999999996</v>
          </cell>
          <cell r="E348">
            <v>4269.3999999999996</v>
          </cell>
          <cell r="F348">
            <v>37</v>
          </cell>
          <cell r="G348">
            <v>0.99140000000000006</v>
          </cell>
          <cell r="H348">
            <v>0.98629999999999995</v>
          </cell>
          <cell r="I348">
            <v>0.99140000000000006</v>
          </cell>
          <cell r="J348" t="str">
            <v>K1A1</v>
          </cell>
          <cell r="K348" t="str">
            <v>CRAVO NORTE</v>
          </cell>
          <cell r="L348" t="str">
            <v>CRAVO NORTE</v>
          </cell>
          <cell r="M348" t="str">
            <v>CRAVO NORTE</v>
          </cell>
        </row>
        <row r="349">
          <cell r="B349" t="str">
            <v>LY-237</v>
          </cell>
          <cell r="C349">
            <v>5546.05</v>
          </cell>
          <cell r="D349">
            <v>5620</v>
          </cell>
          <cell r="E349">
            <v>5546.05</v>
          </cell>
          <cell r="F349">
            <v>35</v>
          </cell>
          <cell r="G349">
            <v>0.99370000000000003</v>
          </cell>
          <cell r="H349">
            <v>0.98799999999999999</v>
          </cell>
          <cell r="I349">
            <v>0.99370000000000003</v>
          </cell>
          <cell r="J349" t="str">
            <v>N/A</v>
          </cell>
          <cell r="K349" t="str">
            <v>CRAVO NORTE</v>
          </cell>
          <cell r="L349" t="str">
            <v>CRAVO NORTE</v>
          </cell>
          <cell r="M349" t="str">
            <v>CRAVO NORTE</v>
          </cell>
        </row>
        <row r="350">
          <cell r="B350" t="str">
            <v>LY-238</v>
          </cell>
          <cell r="C350">
            <v>1200</v>
          </cell>
          <cell r="D350">
            <v>1083.98</v>
          </cell>
          <cell r="E350">
            <v>1200</v>
          </cell>
          <cell r="F350">
            <v>72</v>
          </cell>
          <cell r="G350">
            <v>0.94</v>
          </cell>
          <cell r="H350">
            <v>0.94299999999999995</v>
          </cell>
          <cell r="I350">
            <v>0.94</v>
          </cell>
          <cell r="J350" t="str">
            <v>M1A1</v>
          </cell>
          <cell r="K350" t="str">
            <v>CRAVO NORTE</v>
          </cell>
          <cell r="L350" t="str">
            <v>CRAVO NORTE</v>
          </cell>
          <cell r="M350" t="str">
            <v>CRAVO NORTE</v>
          </cell>
        </row>
        <row r="351">
          <cell r="B351" t="str">
            <v>LY-239</v>
          </cell>
          <cell r="C351">
            <v>1150.6400000000001</v>
          </cell>
          <cell r="D351">
            <v>826.94</v>
          </cell>
          <cell r="E351">
            <v>1150.6400000000001</v>
          </cell>
          <cell r="F351">
            <v>17</v>
          </cell>
          <cell r="G351">
            <v>0.98499999999999999</v>
          </cell>
          <cell r="H351">
            <v>0.97829999999999995</v>
          </cell>
          <cell r="I351">
            <v>0.98499999999999999</v>
          </cell>
          <cell r="J351" t="str">
            <v>M2A0</v>
          </cell>
          <cell r="K351" t="str">
            <v>CRAVO NORTE</v>
          </cell>
          <cell r="L351" t="str">
            <v>CRAVO NORTE</v>
          </cell>
          <cell r="M351" t="str">
            <v>CRAVO NORTE</v>
          </cell>
        </row>
        <row r="352">
          <cell r="B352" t="str">
            <v>LY-240</v>
          </cell>
          <cell r="C352">
            <v>2298.86</v>
          </cell>
          <cell r="D352">
            <v>2298.86</v>
          </cell>
          <cell r="E352">
            <v>0</v>
          </cell>
          <cell r="F352">
            <v>80</v>
          </cell>
          <cell r="G352">
            <v>0.96499999999999997</v>
          </cell>
          <cell r="H352">
            <v>0.96499999999999997</v>
          </cell>
          <cell r="I352">
            <v>0</v>
          </cell>
          <cell r="J352" t="str">
            <v>M2A0</v>
          </cell>
          <cell r="K352" t="str">
            <v>CRAVO NORTE</v>
          </cell>
          <cell r="L352" t="str">
            <v>CRAVO NORTE</v>
          </cell>
          <cell r="M352">
            <v>0</v>
          </cell>
        </row>
        <row r="353">
          <cell r="B353" t="str">
            <v>LY-241 H</v>
          </cell>
          <cell r="C353">
            <v>7804.54</v>
          </cell>
          <cell r="D353">
            <v>8229.17</v>
          </cell>
          <cell r="E353">
            <v>7804.54</v>
          </cell>
          <cell r="F353">
            <v>33</v>
          </cell>
          <cell r="G353">
            <v>0.99580000000000002</v>
          </cell>
          <cell r="H353">
            <v>0.99580000000000002</v>
          </cell>
          <cell r="I353">
            <v>0.99580000000000002</v>
          </cell>
          <cell r="J353" t="str">
            <v>K1A2_ower</v>
          </cell>
          <cell r="K353" t="str">
            <v>CRAVO NORTE</v>
          </cell>
          <cell r="L353" t="str">
            <v>CRAVO NORTE</v>
          </cell>
          <cell r="M353" t="str">
            <v>CRAVO NORTE</v>
          </cell>
        </row>
        <row r="354">
          <cell r="B354" t="str">
            <v>LY-242</v>
          </cell>
          <cell r="C354">
            <v>8822.26</v>
          </cell>
          <cell r="D354">
            <v>8606.85</v>
          </cell>
          <cell r="E354">
            <v>8822.26</v>
          </cell>
          <cell r="F354">
            <v>124</v>
          </cell>
          <cell r="G354">
            <v>0.9859</v>
          </cell>
          <cell r="H354">
            <v>0.9859</v>
          </cell>
          <cell r="I354">
            <v>0.9859</v>
          </cell>
          <cell r="J354" t="str">
            <v>M2A1</v>
          </cell>
          <cell r="K354" t="str">
            <v>CRAVO NORTE</v>
          </cell>
          <cell r="L354" t="str">
            <v>CRAVO NORTE</v>
          </cell>
          <cell r="M354" t="str">
            <v>CRAVO NORTE</v>
          </cell>
        </row>
        <row r="355">
          <cell r="B355" t="str">
            <v>LY-245 A</v>
          </cell>
          <cell r="C355">
            <v>235</v>
          </cell>
          <cell r="D355">
            <v>209.91</v>
          </cell>
          <cell r="E355">
            <v>235</v>
          </cell>
          <cell r="F355">
            <v>27</v>
          </cell>
          <cell r="G355">
            <v>0.88500000000000001</v>
          </cell>
          <cell r="H355">
            <v>0.74199999999999999</v>
          </cell>
          <cell r="I355">
            <v>0.88500000000000001</v>
          </cell>
          <cell r="J355" t="str">
            <v>N/A</v>
          </cell>
          <cell r="K355" t="str">
            <v>CRAVO NORTE</v>
          </cell>
          <cell r="L355" t="str">
            <v>CRAVO NORTE</v>
          </cell>
          <cell r="M355" t="str">
            <v>CRAVO NORTE</v>
          </cell>
        </row>
        <row r="356">
          <cell r="B356" t="str">
            <v>LY-246</v>
          </cell>
          <cell r="C356">
            <v>120</v>
          </cell>
          <cell r="D356">
            <v>110</v>
          </cell>
          <cell r="E356">
            <v>120</v>
          </cell>
          <cell r="F356">
            <v>45</v>
          </cell>
          <cell r="G356">
            <v>0.625</v>
          </cell>
          <cell r="H356">
            <v>0.55899999999999994</v>
          </cell>
          <cell r="I356">
            <v>0.625</v>
          </cell>
          <cell r="J356" t="str">
            <v>C5b</v>
          </cell>
          <cell r="K356" t="str">
            <v>CRAVO NORTE</v>
          </cell>
          <cell r="L356" t="str">
            <v>CRAVO NORTE</v>
          </cell>
          <cell r="M356" t="str">
            <v>CRAVO NORTE</v>
          </cell>
        </row>
        <row r="357">
          <cell r="B357" t="str">
            <v>LY-247</v>
          </cell>
          <cell r="C357">
            <v>7534.79</v>
          </cell>
          <cell r="D357">
            <v>7637.65</v>
          </cell>
          <cell r="E357">
            <v>7534.79</v>
          </cell>
          <cell r="F357">
            <v>83</v>
          </cell>
          <cell r="G357">
            <v>0.9890000000000001</v>
          </cell>
          <cell r="H357">
            <v>0.9890000000000001</v>
          </cell>
          <cell r="I357">
            <v>0.9890000000000001</v>
          </cell>
          <cell r="J357" t="str">
            <v>K1B2_Upper</v>
          </cell>
          <cell r="K357" t="str">
            <v>CRAVO NORTE</v>
          </cell>
          <cell r="L357" t="str">
            <v>CRAVO NORTE</v>
          </cell>
          <cell r="M357" t="str">
            <v>CRAVO NORTE</v>
          </cell>
        </row>
        <row r="358">
          <cell r="B358" t="str">
            <v>LY-248</v>
          </cell>
          <cell r="C358">
            <v>761.03</v>
          </cell>
          <cell r="D358">
            <v>761.03</v>
          </cell>
          <cell r="E358">
            <v>0</v>
          </cell>
          <cell r="F358">
            <v>221</v>
          </cell>
          <cell r="G358">
            <v>0.71</v>
          </cell>
          <cell r="H358">
            <v>0.71</v>
          </cell>
          <cell r="I358">
            <v>0</v>
          </cell>
          <cell r="J358" t="str">
            <v>K1C2</v>
          </cell>
          <cell r="K358" t="str">
            <v>CRAVO NORTE</v>
          </cell>
          <cell r="L358" t="str">
            <v>CRAVO NORTE</v>
          </cell>
          <cell r="M358">
            <v>0</v>
          </cell>
        </row>
        <row r="359">
          <cell r="B359" t="str">
            <v>LY-249</v>
          </cell>
          <cell r="C359">
            <v>7177.47</v>
          </cell>
          <cell r="D359">
            <v>7177.47</v>
          </cell>
          <cell r="E359">
            <v>0</v>
          </cell>
          <cell r="F359">
            <v>55</v>
          </cell>
          <cell r="G359">
            <v>0.99230000000000007</v>
          </cell>
          <cell r="H359">
            <v>0.99230000000000007</v>
          </cell>
          <cell r="I359">
            <v>0</v>
          </cell>
          <cell r="J359" t="str">
            <v>N/A</v>
          </cell>
          <cell r="K359" t="str">
            <v>CRAVO NORTE</v>
          </cell>
          <cell r="L359" t="str">
            <v>CRAVO NORTE</v>
          </cell>
          <cell r="M359">
            <v>0</v>
          </cell>
        </row>
        <row r="360">
          <cell r="B360" t="str">
            <v>LY-251</v>
          </cell>
          <cell r="C360">
            <v>3891.38</v>
          </cell>
          <cell r="D360">
            <v>3805.84</v>
          </cell>
          <cell r="E360">
            <v>3891.38</v>
          </cell>
          <cell r="F360">
            <v>56</v>
          </cell>
          <cell r="G360">
            <v>0.98549999999999993</v>
          </cell>
          <cell r="H360">
            <v>0.98</v>
          </cell>
          <cell r="I360">
            <v>0.98549999999999993</v>
          </cell>
          <cell r="J360" t="str">
            <v>K1B1_Upper</v>
          </cell>
          <cell r="K360" t="str">
            <v>CRAVO NORTE</v>
          </cell>
          <cell r="L360" t="str">
            <v>CRAVO NORTE</v>
          </cell>
          <cell r="M360" t="str">
            <v>CRAVO NORTE</v>
          </cell>
        </row>
        <row r="361">
          <cell r="B361" t="str">
            <v>LY-252</v>
          </cell>
          <cell r="C361">
            <v>1030</v>
          </cell>
          <cell r="D361">
            <v>728.05</v>
          </cell>
          <cell r="E361">
            <v>1030</v>
          </cell>
          <cell r="F361">
            <v>67</v>
          </cell>
          <cell r="G361">
            <v>0.93500000000000005</v>
          </cell>
          <cell r="H361">
            <v>0.86</v>
          </cell>
          <cell r="I361">
            <v>0.93500000000000005</v>
          </cell>
          <cell r="J361" t="str">
            <v>K1C2</v>
          </cell>
          <cell r="K361" t="str">
            <v>CRAVO NORTE</v>
          </cell>
          <cell r="L361" t="str">
            <v>CRAVO NORTE</v>
          </cell>
          <cell r="M361" t="str">
            <v>CRAVO NORTE</v>
          </cell>
        </row>
        <row r="362">
          <cell r="B362" t="str">
            <v>LY-253</v>
          </cell>
          <cell r="C362">
            <v>217.11</v>
          </cell>
          <cell r="D362">
            <v>217.11</v>
          </cell>
          <cell r="E362">
            <v>0</v>
          </cell>
          <cell r="F362">
            <v>9</v>
          </cell>
          <cell r="G362">
            <v>0.96</v>
          </cell>
          <cell r="H362">
            <v>0.96</v>
          </cell>
          <cell r="I362">
            <v>0</v>
          </cell>
          <cell r="J362" t="str">
            <v>K1B1_Upper</v>
          </cell>
          <cell r="K362" t="str">
            <v>CRAVO NORTE</v>
          </cell>
          <cell r="L362" t="str">
            <v>CRAVO NORTE</v>
          </cell>
          <cell r="M362">
            <v>0</v>
          </cell>
        </row>
        <row r="363">
          <cell r="B363" t="str">
            <v>LY-255</v>
          </cell>
          <cell r="C363">
            <v>783.3</v>
          </cell>
          <cell r="D363">
            <v>819.61</v>
          </cell>
          <cell r="E363">
            <v>783.3</v>
          </cell>
          <cell r="F363">
            <v>23</v>
          </cell>
          <cell r="G363">
            <v>0.97099999999999997</v>
          </cell>
          <cell r="H363">
            <v>0.97099999999999997</v>
          </cell>
          <cell r="I363">
            <v>0.97099999999999997</v>
          </cell>
          <cell r="J363" t="str">
            <v>C5b</v>
          </cell>
          <cell r="K363" t="str">
            <v>CRAVO NORTE</v>
          </cell>
          <cell r="L363" t="str">
            <v>CRAVO NORTE</v>
          </cell>
          <cell r="M363" t="str">
            <v>CRAVO NORTE</v>
          </cell>
        </row>
        <row r="364">
          <cell r="B364" t="str">
            <v>LY-257</v>
          </cell>
          <cell r="C364">
            <v>885</v>
          </cell>
          <cell r="D364">
            <v>896.75</v>
          </cell>
          <cell r="E364">
            <v>885</v>
          </cell>
          <cell r="F364">
            <v>49</v>
          </cell>
          <cell r="G364">
            <v>0.94499999999999995</v>
          </cell>
          <cell r="H364">
            <v>0.93</v>
          </cell>
          <cell r="I364">
            <v>0.94499999999999995</v>
          </cell>
          <cell r="J364" t="str">
            <v>M4A</v>
          </cell>
          <cell r="K364" t="str">
            <v>CRAVO NORTE</v>
          </cell>
          <cell r="L364" t="str">
            <v>CRAVO NORTE</v>
          </cell>
          <cell r="M364" t="str">
            <v>CRAVO NORTE</v>
          </cell>
        </row>
        <row r="365">
          <cell r="B365" t="str">
            <v>LY-258</v>
          </cell>
          <cell r="C365">
            <v>1050</v>
          </cell>
          <cell r="D365">
            <v>1279.1500000000001</v>
          </cell>
          <cell r="E365">
            <v>1050</v>
          </cell>
          <cell r="F365">
            <v>175</v>
          </cell>
          <cell r="G365">
            <v>0.83329999999999993</v>
          </cell>
          <cell r="H365">
            <v>0.81099999999999994</v>
          </cell>
          <cell r="I365">
            <v>0.83329999999999993</v>
          </cell>
          <cell r="J365" t="str">
            <v>C5b</v>
          </cell>
          <cell r="K365" t="str">
            <v>CRAVO NORTE</v>
          </cell>
          <cell r="L365" t="str">
            <v>CRAVO NORTE</v>
          </cell>
          <cell r="M365" t="str">
            <v>CRAVO NORTE</v>
          </cell>
        </row>
        <row r="366">
          <cell r="B366" t="str">
            <v>LY-259</v>
          </cell>
          <cell r="C366">
            <v>1800</v>
          </cell>
          <cell r="D366">
            <v>1800</v>
          </cell>
          <cell r="E366">
            <v>0</v>
          </cell>
          <cell r="F366">
            <v>90</v>
          </cell>
          <cell r="G366">
            <v>0.95</v>
          </cell>
          <cell r="H366">
            <v>0.95</v>
          </cell>
          <cell r="I366">
            <v>0</v>
          </cell>
          <cell r="J366" t="str">
            <v>K1B1_Upper</v>
          </cell>
          <cell r="K366" t="str">
            <v>CRAVO NORTE</v>
          </cell>
          <cell r="L366" t="str">
            <v>CRAVO NORTE</v>
          </cell>
          <cell r="M366">
            <v>0</v>
          </cell>
        </row>
        <row r="367">
          <cell r="B367" t="str">
            <v>LY-261 A</v>
          </cell>
          <cell r="C367">
            <v>155</v>
          </cell>
          <cell r="D367">
            <v>155</v>
          </cell>
          <cell r="E367">
            <v>0</v>
          </cell>
          <cell r="F367">
            <v>30</v>
          </cell>
          <cell r="G367">
            <v>0.80900000000000005</v>
          </cell>
          <cell r="H367">
            <v>0.80900000000000005</v>
          </cell>
          <cell r="I367">
            <v>0</v>
          </cell>
          <cell r="J367" t="str">
            <v>K1C2_Upper-K1C2_Middle</v>
          </cell>
          <cell r="K367" t="str">
            <v>CRAVO NORTE</v>
          </cell>
          <cell r="L367" t="str">
            <v>CRAVO NORTE</v>
          </cell>
          <cell r="M367">
            <v>0</v>
          </cell>
        </row>
        <row r="368">
          <cell r="B368" t="str">
            <v>LY-262</v>
          </cell>
          <cell r="C368">
            <v>8980.9699999999993</v>
          </cell>
          <cell r="D368">
            <v>9837.69</v>
          </cell>
          <cell r="E368">
            <v>8980.9699999999993</v>
          </cell>
          <cell r="F368">
            <v>73</v>
          </cell>
          <cell r="G368">
            <v>0.9919</v>
          </cell>
          <cell r="H368">
            <v>0.9919</v>
          </cell>
          <cell r="I368">
            <v>0.9919</v>
          </cell>
          <cell r="J368" t="str">
            <v>K1B2_Upper</v>
          </cell>
          <cell r="K368" t="str">
            <v>CRAVO NORTE</v>
          </cell>
          <cell r="L368" t="str">
            <v>CRAVO NORTE</v>
          </cell>
          <cell r="M368" t="str">
            <v>CRAVO NORTE</v>
          </cell>
        </row>
        <row r="369">
          <cell r="B369" t="str">
            <v>LY-263</v>
          </cell>
          <cell r="C369">
            <v>12154.52</v>
          </cell>
          <cell r="D369">
            <v>12319.87</v>
          </cell>
          <cell r="E369">
            <v>12154.52</v>
          </cell>
          <cell r="F369">
            <v>96</v>
          </cell>
          <cell r="G369">
            <v>0.99209999999999998</v>
          </cell>
          <cell r="H369">
            <v>0.99109999999999998</v>
          </cell>
          <cell r="I369">
            <v>0.99209999999999998</v>
          </cell>
          <cell r="J369" t="str">
            <v>K1B2_Upper</v>
          </cell>
          <cell r="K369" t="str">
            <v>CRAVO NORTE</v>
          </cell>
          <cell r="L369" t="str">
            <v>CRAVO NORTE</v>
          </cell>
          <cell r="M369" t="str">
            <v>CRAVO NORTE</v>
          </cell>
        </row>
        <row r="370">
          <cell r="B370" t="str">
            <v>LY-264</v>
          </cell>
          <cell r="C370">
            <v>1198.17</v>
          </cell>
          <cell r="D370">
            <v>987.24</v>
          </cell>
          <cell r="E370">
            <v>1198.17</v>
          </cell>
          <cell r="F370">
            <v>242</v>
          </cell>
          <cell r="G370">
            <v>0.79810000000000003</v>
          </cell>
          <cell r="H370">
            <v>0.745</v>
          </cell>
          <cell r="I370">
            <v>0.79810000000000003</v>
          </cell>
          <cell r="J370" t="str">
            <v>M1B</v>
          </cell>
          <cell r="K370" t="str">
            <v>CRAVO NORTE</v>
          </cell>
          <cell r="L370" t="str">
            <v>CRAVO NORTE</v>
          </cell>
          <cell r="M370" t="str">
            <v>CRAVO NORTE</v>
          </cell>
        </row>
        <row r="371">
          <cell r="B371" t="str">
            <v>LY-265</v>
          </cell>
          <cell r="C371">
            <v>7044.66</v>
          </cell>
          <cell r="D371">
            <v>7313.6</v>
          </cell>
          <cell r="E371">
            <v>7044.66</v>
          </cell>
          <cell r="F371">
            <v>68</v>
          </cell>
          <cell r="G371">
            <v>0.99040000000000006</v>
          </cell>
          <cell r="H371">
            <v>0.99</v>
          </cell>
          <cell r="I371">
            <v>0.99040000000000006</v>
          </cell>
          <cell r="J371" t="str">
            <v>M1C1</v>
          </cell>
          <cell r="K371" t="str">
            <v>CRAVO NORTE</v>
          </cell>
          <cell r="L371" t="str">
            <v>CRAVO NORTE</v>
          </cell>
          <cell r="M371" t="str">
            <v>CRAVO NORTE</v>
          </cell>
        </row>
        <row r="372">
          <cell r="B372" t="str">
            <v>LY-266</v>
          </cell>
          <cell r="C372">
            <v>1846.15</v>
          </cell>
          <cell r="D372">
            <v>1745.67</v>
          </cell>
          <cell r="E372">
            <v>1846.15</v>
          </cell>
          <cell r="F372">
            <v>105</v>
          </cell>
          <cell r="G372">
            <v>0.94290000000000007</v>
          </cell>
          <cell r="H372">
            <v>0.94</v>
          </cell>
          <cell r="I372">
            <v>0.94290000000000007</v>
          </cell>
          <cell r="J372" t="str">
            <v>K1C2_Upper</v>
          </cell>
          <cell r="K372" t="str">
            <v>CRAVO NORTE</v>
          </cell>
          <cell r="L372" t="str">
            <v>CRAVO NORTE</v>
          </cell>
          <cell r="M372" t="str">
            <v>CRAVO NORTE</v>
          </cell>
        </row>
        <row r="373">
          <cell r="B373" t="str">
            <v>LY-267</v>
          </cell>
          <cell r="C373">
            <v>4359.91</v>
          </cell>
          <cell r="D373">
            <v>4546.88</v>
          </cell>
          <cell r="E373">
            <v>4359.91</v>
          </cell>
          <cell r="F373">
            <v>95</v>
          </cell>
          <cell r="G373">
            <v>0.97809999999999997</v>
          </cell>
          <cell r="H373">
            <v>0.97809999999999997</v>
          </cell>
          <cell r="I373">
            <v>0.97809999999999997</v>
          </cell>
          <cell r="J373" t="str">
            <v>N/A</v>
          </cell>
          <cell r="K373" t="str">
            <v>CRAVO NORTE</v>
          </cell>
          <cell r="L373" t="str">
            <v>CRAVO NORTE</v>
          </cell>
          <cell r="M373" t="str">
            <v>CRAVO NORTE</v>
          </cell>
        </row>
        <row r="374">
          <cell r="B374" t="str">
            <v>LY-269</v>
          </cell>
          <cell r="C374">
            <v>8698.93</v>
          </cell>
          <cell r="D374">
            <v>8904.16</v>
          </cell>
          <cell r="E374">
            <v>8698.93</v>
          </cell>
          <cell r="F374">
            <v>70</v>
          </cell>
          <cell r="G374">
            <v>0.99199999999999999</v>
          </cell>
          <cell r="H374">
            <v>0.99199999999999999</v>
          </cell>
          <cell r="I374">
            <v>0.99199999999999999</v>
          </cell>
          <cell r="J374" t="str">
            <v>K1C1</v>
          </cell>
          <cell r="K374" t="str">
            <v>CRAVO NORTE</v>
          </cell>
          <cell r="L374" t="str">
            <v>CRAVO NORTE</v>
          </cell>
          <cell r="M374" t="str">
            <v>CRAVO NORTE</v>
          </cell>
        </row>
        <row r="375">
          <cell r="B375" t="str">
            <v>LY-270</v>
          </cell>
          <cell r="C375">
            <v>9853.5499999999993</v>
          </cell>
          <cell r="D375">
            <v>10079.33</v>
          </cell>
          <cell r="E375">
            <v>9853.5499999999993</v>
          </cell>
          <cell r="F375">
            <v>47</v>
          </cell>
          <cell r="G375">
            <v>0.99519999999999997</v>
          </cell>
          <cell r="H375">
            <v>0.99529999999999996</v>
          </cell>
          <cell r="I375">
            <v>0.99519999999999997</v>
          </cell>
          <cell r="J375" t="str">
            <v>M4S</v>
          </cell>
          <cell r="K375" t="str">
            <v>CRAVO NORTE</v>
          </cell>
          <cell r="L375" t="str">
            <v>CRAVO NORTE</v>
          </cell>
          <cell r="M375" t="str">
            <v>CRAVO NORTE</v>
          </cell>
        </row>
        <row r="376">
          <cell r="B376" t="str">
            <v>LY-272</v>
          </cell>
          <cell r="C376">
            <v>5680</v>
          </cell>
          <cell r="D376">
            <v>5820</v>
          </cell>
          <cell r="E376">
            <v>5680</v>
          </cell>
          <cell r="F376">
            <v>74</v>
          </cell>
          <cell r="G376">
            <v>0.98699999999999999</v>
          </cell>
          <cell r="H376">
            <v>0.9840000000000001</v>
          </cell>
          <cell r="I376">
            <v>0.98699999999999999</v>
          </cell>
          <cell r="J376" t="str">
            <v>M2B</v>
          </cell>
          <cell r="K376" t="str">
            <v>CRAVO NORTE</v>
          </cell>
          <cell r="L376" t="str">
            <v>CRAVO NORTE</v>
          </cell>
          <cell r="M376" t="str">
            <v>CRAVO NORTE</v>
          </cell>
        </row>
        <row r="377">
          <cell r="B377" t="str">
            <v>LY-273</v>
          </cell>
          <cell r="C377">
            <v>1879.9</v>
          </cell>
          <cell r="D377">
            <v>2039.19</v>
          </cell>
          <cell r="E377">
            <v>1879.9</v>
          </cell>
          <cell r="F377">
            <v>65</v>
          </cell>
          <cell r="G377">
            <v>0.96550000000000002</v>
          </cell>
          <cell r="H377">
            <v>0.96499999999999997</v>
          </cell>
          <cell r="I377">
            <v>0.96550000000000002</v>
          </cell>
          <cell r="J377" t="str">
            <v>K1B1_Upper</v>
          </cell>
          <cell r="K377" t="str">
            <v>CRAVO NORTE</v>
          </cell>
          <cell r="L377" t="str">
            <v>CRAVO NORTE</v>
          </cell>
          <cell r="M377" t="str">
            <v>CRAVO NORTE</v>
          </cell>
        </row>
        <row r="378">
          <cell r="B378" t="str">
            <v>LY-274</v>
          </cell>
          <cell r="C378">
            <v>1004.2</v>
          </cell>
          <cell r="D378">
            <v>1194.76</v>
          </cell>
          <cell r="E378">
            <v>1004.2</v>
          </cell>
          <cell r="F378">
            <v>18</v>
          </cell>
          <cell r="G378">
            <v>0.98159999999999992</v>
          </cell>
          <cell r="H378">
            <v>0.97499999999999998</v>
          </cell>
          <cell r="I378">
            <v>0.98159999999999992</v>
          </cell>
          <cell r="J378" t="str">
            <v>M2A0-GUAFITA</v>
          </cell>
          <cell r="K378" t="str">
            <v>CRAVO NORTE</v>
          </cell>
          <cell r="L378" t="str">
            <v>CRAVO NORTE</v>
          </cell>
          <cell r="M378" t="str">
            <v>CRAVO NORTE</v>
          </cell>
        </row>
        <row r="379">
          <cell r="B379" t="str">
            <v>LY-275</v>
          </cell>
          <cell r="C379">
            <v>2670.63</v>
          </cell>
          <cell r="D379">
            <v>2860.24</v>
          </cell>
          <cell r="E379">
            <v>2670.63</v>
          </cell>
          <cell r="F379">
            <v>36</v>
          </cell>
          <cell r="G379">
            <v>0.98670000000000002</v>
          </cell>
          <cell r="H379">
            <v>0.98670000000000002</v>
          </cell>
          <cell r="I379">
            <v>0.98670000000000002</v>
          </cell>
          <cell r="J379" t="str">
            <v>K1B1_ower</v>
          </cell>
          <cell r="K379" t="str">
            <v>CRAVO NORTE</v>
          </cell>
          <cell r="L379" t="str">
            <v>CRAVO NORTE</v>
          </cell>
          <cell r="M379" t="str">
            <v>CRAVO NORTE</v>
          </cell>
        </row>
        <row r="380">
          <cell r="B380" t="str">
            <v>LY-276</v>
          </cell>
          <cell r="C380">
            <v>180</v>
          </cell>
          <cell r="D380">
            <v>180</v>
          </cell>
          <cell r="E380">
            <v>0</v>
          </cell>
          <cell r="F380">
            <v>45</v>
          </cell>
          <cell r="G380">
            <v>0.75</v>
          </cell>
          <cell r="H380">
            <v>0.75</v>
          </cell>
          <cell r="I380">
            <v>0</v>
          </cell>
          <cell r="J380" t="str">
            <v>K1A1-K1A2_Upper</v>
          </cell>
          <cell r="K380" t="str">
            <v>CRAVO NORTE</v>
          </cell>
          <cell r="L380" t="str">
            <v>CRAVO NORTE</v>
          </cell>
          <cell r="M380">
            <v>0</v>
          </cell>
        </row>
        <row r="381">
          <cell r="B381" t="str">
            <v>LY-277</v>
          </cell>
          <cell r="C381">
            <v>500</v>
          </cell>
          <cell r="D381">
            <v>420</v>
          </cell>
          <cell r="E381">
            <v>500</v>
          </cell>
          <cell r="F381">
            <v>183</v>
          </cell>
          <cell r="G381">
            <v>0.63500000000000001</v>
          </cell>
          <cell r="H381">
            <v>0.54</v>
          </cell>
          <cell r="I381">
            <v>0.63500000000000001</v>
          </cell>
          <cell r="J381" t="str">
            <v>C5dB</v>
          </cell>
          <cell r="K381" t="str">
            <v>CRAVO NORTE</v>
          </cell>
          <cell r="L381" t="str">
            <v>CRAVO NORTE</v>
          </cell>
          <cell r="M381" t="str">
            <v>CRAVO NORTE</v>
          </cell>
        </row>
        <row r="382">
          <cell r="B382" t="str">
            <v>LY-279</v>
          </cell>
          <cell r="C382">
            <v>7900</v>
          </cell>
          <cell r="D382">
            <v>7900</v>
          </cell>
          <cell r="E382">
            <v>0</v>
          </cell>
          <cell r="F382">
            <v>33</v>
          </cell>
          <cell r="G382">
            <v>0.99580000000000002</v>
          </cell>
          <cell r="H382">
            <v>0.99580000000000002</v>
          </cell>
          <cell r="I382">
            <v>0</v>
          </cell>
          <cell r="J382" t="str">
            <v>M1A1</v>
          </cell>
          <cell r="K382" t="str">
            <v>CRAVO NORTE</v>
          </cell>
          <cell r="L382" t="str">
            <v>CRAVO NORTE</v>
          </cell>
          <cell r="M382">
            <v>0</v>
          </cell>
        </row>
        <row r="383">
          <cell r="B383" t="str">
            <v>LY-280</v>
          </cell>
          <cell r="C383">
            <v>1549.57</v>
          </cell>
          <cell r="D383">
            <v>1585.19</v>
          </cell>
          <cell r="E383">
            <v>1549.57</v>
          </cell>
          <cell r="F383">
            <v>56</v>
          </cell>
          <cell r="G383">
            <v>0.96400000000000008</v>
          </cell>
          <cell r="H383">
            <v>0.96</v>
          </cell>
          <cell r="I383">
            <v>0.96400000000000008</v>
          </cell>
          <cell r="J383" t="str">
            <v>K1A2_Upper</v>
          </cell>
          <cell r="K383" t="str">
            <v>CRAVO NORTE</v>
          </cell>
          <cell r="L383" t="str">
            <v>CRAVO NORTE</v>
          </cell>
          <cell r="M383" t="str">
            <v>CRAVO NORTE</v>
          </cell>
        </row>
        <row r="384">
          <cell r="B384" t="str">
            <v>LY-282</v>
          </cell>
          <cell r="C384">
            <v>23207.91</v>
          </cell>
          <cell r="D384">
            <v>23254.98</v>
          </cell>
          <cell r="E384">
            <v>23207.91</v>
          </cell>
          <cell r="F384">
            <v>128</v>
          </cell>
          <cell r="G384">
            <v>0.99450000000000005</v>
          </cell>
          <cell r="H384">
            <v>0.99450000000000005</v>
          </cell>
          <cell r="I384">
            <v>0.99450000000000005</v>
          </cell>
          <cell r="J384" t="str">
            <v>M3B</v>
          </cell>
          <cell r="K384" t="str">
            <v>CRAVO NORTE</v>
          </cell>
          <cell r="L384" t="str">
            <v>CRAVO NORTE</v>
          </cell>
          <cell r="M384" t="str">
            <v>CRAVO NORTE</v>
          </cell>
        </row>
        <row r="385">
          <cell r="B385" t="str">
            <v>LY-283</v>
          </cell>
          <cell r="C385">
            <v>1250</v>
          </cell>
          <cell r="D385">
            <v>1015.3</v>
          </cell>
          <cell r="E385">
            <v>1250</v>
          </cell>
          <cell r="F385">
            <v>100</v>
          </cell>
          <cell r="G385">
            <v>0.92</v>
          </cell>
          <cell r="H385">
            <v>0.90900000000000003</v>
          </cell>
          <cell r="I385">
            <v>0.92</v>
          </cell>
          <cell r="J385" t="str">
            <v>C5dB</v>
          </cell>
          <cell r="K385" t="str">
            <v>CRAVO NORTE</v>
          </cell>
          <cell r="L385" t="str">
            <v>CRAVO NORTE</v>
          </cell>
          <cell r="M385" t="str">
            <v>CRAVO NORTE</v>
          </cell>
        </row>
        <row r="386">
          <cell r="B386" t="str">
            <v>LY-285</v>
          </cell>
          <cell r="C386">
            <v>831.61</v>
          </cell>
          <cell r="D386">
            <v>774.54</v>
          </cell>
          <cell r="E386">
            <v>831.61</v>
          </cell>
          <cell r="F386">
            <v>81</v>
          </cell>
          <cell r="G386">
            <v>0.90300000000000002</v>
          </cell>
          <cell r="H386">
            <v>0.90200000000000002</v>
          </cell>
          <cell r="I386">
            <v>0.90300000000000002</v>
          </cell>
          <cell r="J386" t="str">
            <v>M1B</v>
          </cell>
          <cell r="K386" t="str">
            <v>CRAVO NORTE</v>
          </cell>
          <cell r="L386" t="str">
            <v>CRAVO NORTE</v>
          </cell>
          <cell r="M386" t="str">
            <v>CRAVO NORTE</v>
          </cell>
        </row>
        <row r="387">
          <cell r="B387" t="str">
            <v>LY-286ST</v>
          </cell>
          <cell r="C387">
            <v>2143.6799999999998</v>
          </cell>
          <cell r="D387">
            <v>2180.2600000000002</v>
          </cell>
          <cell r="E387">
            <v>2143.6799999999998</v>
          </cell>
          <cell r="F387">
            <v>86</v>
          </cell>
          <cell r="G387">
            <v>0.96</v>
          </cell>
          <cell r="H387">
            <v>0.95689999999999997</v>
          </cell>
          <cell r="I387">
            <v>0.96</v>
          </cell>
          <cell r="J387" t="str">
            <v>K1B1_Upper</v>
          </cell>
          <cell r="K387" t="str">
            <v>CRAVO NORTE</v>
          </cell>
          <cell r="L387" t="str">
            <v>CRAVO NORTE</v>
          </cell>
          <cell r="M387" t="str">
            <v>CRAVO NORTE</v>
          </cell>
        </row>
        <row r="388">
          <cell r="B388" t="str">
            <v>LY-287</v>
          </cell>
          <cell r="C388">
            <v>547.6</v>
          </cell>
          <cell r="D388">
            <v>520</v>
          </cell>
          <cell r="E388">
            <v>547.6</v>
          </cell>
          <cell r="F388">
            <v>107</v>
          </cell>
          <cell r="G388">
            <v>0.80500000000000005</v>
          </cell>
          <cell r="H388">
            <v>0.79</v>
          </cell>
          <cell r="I388">
            <v>0.80500000000000005</v>
          </cell>
          <cell r="J388" t="str">
            <v>K1A2_Upper</v>
          </cell>
          <cell r="K388" t="str">
            <v>CRAVO NORTE</v>
          </cell>
          <cell r="L388" t="str">
            <v>CRAVO NORTE</v>
          </cell>
          <cell r="M388" t="str">
            <v>CRAVO NORTE</v>
          </cell>
        </row>
        <row r="389">
          <cell r="B389" t="str">
            <v>LY-288</v>
          </cell>
          <cell r="C389">
            <v>309.60000000000002</v>
          </cell>
          <cell r="D389">
            <v>317.39999999999998</v>
          </cell>
          <cell r="E389">
            <v>309.60000000000002</v>
          </cell>
          <cell r="F389">
            <v>52</v>
          </cell>
          <cell r="G389">
            <v>0.83299999999999996</v>
          </cell>
          <cell r="H389">
            <v>0.83</v>
          </cell>
          <cell r="I389">
            <v>0.83299999999999996</v>
          </cell>
          <cell r="J389" t="str">
            <v>K1A2_Upper</v>
          </cell>
          <cell r="K389" t="str">
            <v>CRAVO NORTE</v>
          </cell>
          <cell r="L389" t="str">
            <v>CRAVO NORTE</v>
          </cell>
          <cell r="M389" t="str">
            <v>CRAVO NORTE</v>
          </cell>
        </row>
        <row r="390">
          <cell r="B390" t="str">
            <v>LY-289</v>
          </cell>
          <cell r="C390">
            <v>620</v>
          </cell>
          <cell r="D390">
            <v>790.18</v>
          </cell>
          <cell r="E390">
            <v>620</v>
          </cell>
          <cell r="F390">
            <v>40</v>
          </cell>
          <cell r="G390">
            <v>0.93500000000000005</v>
          </cell>
          <cell r="H390">
            <v>0.94499999999999995</v>
          </cell>
          <cell r="I390">
            <v>0.93500000000000005</v>
          </cell>
          <cell r="J390" t="str">
            <v>C5a</v>
          </cell>
          <cell r="K390" t="str">
            <v>CRAVO NORTE</v>
          </cell>
          <cell r="L390" t="str">
            <v>CRAVO NORTE</v>
          </cell>
          <cell r="M390" t="str">
            <v>CRAVO NORTE</v>
          </cell>
        </row>
        <row r="391">
          <cell r="B391" t="str">
            <v>LY-290</v>
          </cell>
          <cell r="C391">
            <v>595.64</v>
          </cell>
          <cell r="D391">
            <v>605.63</v>
          </cell>
          <cell r="E391">
            <v>595.64</v>
          </cell>
          <cell r="F391">
            <v>83</v>
          </cell>
          <cell r="G391">
            <v>0.86109999999999998</v>
          </cell>
          <cell r="H391">
            <v>0.85599999999999998</v>
          </cell>
          <cell r="I391">
            <v>0.86109999999999998</v>
          </cell>
          <cell r="J391" t="str">
            <v>K1A2_Upper</v>
          </cell>
          <cell r="K391" t="str">
            <v>CRAVO NORTE</v>
          </cell>
          <cell r="L391" t="str">
            <v>CRAVO NORTE</v>
          </cell>
          <cell r="M391" t="str">
            <v>CRAVO NORTE</v>
          </cell>
        </row>
        <row r="392">
          <cell r="B392" t="str">
            <v>LY-291</v>
          </cell>
          <cell r="C392">
            <v>1883.81</v>
          </cell>
          <cell r="D392">
            <v>1669.33</v>
          </cell>
          <cell r="E392">
            <v>1883.81</v>
          </cell>
          <cell r="F392">
            <v>116</v>
          </cell>
          <cell r="G392">
            <v>0.93840000000000001</v>
          </cell>
          <cell r="H392">
            <v>0.93</v>
          </cell>
          <cell r="I392">
            <v>0.93840000000000001</v>
          </cell>
          <cell r="J392" t="str">
            <v>M3C</v>
          </cell>
          <cell r="K392" t="str">
            <v>CRAVO NORTE</v>
          </cell>
          <cell r="L392" t="str">
            <v>CRAVO NORTE</v>
          </cell>
          <cell r="M392" t="str">
            <v>CRAVO NORTE</v>
          </cell>
        </row>
        <row r="393">
          <cell r="B393" t="str">
            <v>LY-296</v>
          </cell>
          <cell r="C393">
            <v>2114.4699999999998</v>
          </cell>
          <cell r="D393">
            <v>1830.5</v>
          </cell>
          <cell r="E393">
            <v>2114.4699999999998</v>
          </cell>
          <cell r="F393">
            <v>106</v>
          </cell>
          <cell r="G393">
            <v>0.95</v>
          </cell>
          <cell r="H393">
            <v>0.84499999999999997</v>
          </cell>
          <cell r="I393">
            <v>0.95</v>
          </cell>
          <cell r="J393" t="str">
            <v>K1B1_Upper</v>
          </cell>
          <cell r="K393" t="str">
            <v>CRAVO NORTE</v>
          </cell>
          <cell r="L393" t="str">
            <v>CRAVO NORTE</v>
          </cell>
          <cell r="M393" t="str">
            <v>CRAVO NORTE</v>
          </cell>
        </row>
        <row r="394">
          <cell r="B394" t="str">
            <v>LY-297</v>
          </cell>
          <cell r="C394">
            <v>348.94</v>
          </cell>
          <cell r="D394">
            <v>372.86</v>
          </cell>
          <cell r="E394">
            <v>348.94</v>
          </cell>
          <cell r="F394">
            <v>10</v>
          </cell>
          <cell r="G394">
            <v>0.97199999999999998</v>
          </cell>
          <cell r="H394">
            <v>0.96700000000000008</v>
          </cell>
          <cell r="I394">
            <v>0.97199999999999998</v>
          </cell>
          <cell r="J394" t="str">
            <v>K1A2_Upper</v>
          </cell>
          <cell r="K394" t="str">
            <v>CRAVO NORTE</v>
          </cell>
          <cell r="L394" t="str">
            <v>CRAVO NORTE</v>
          </cell>
          <cell r="M394" t="str">
            <v>CRAVO NORTE</v>
          </cell>
        </row>
        <row r="395">
          <cell r="B395" t="str">
            <v>LY-298</v>
          </cell>
          <cell r="C395">
            <v>6679.94</v>
          </cell>
          <cell r="D395">
            <v>4000</v>
          </cell>
          <cell r="E395">
            <v>6679.94</v>
          </cell>
          <cell r="F395">
            <v>12</v>
          </cell>
          <cell r="G395">
            <v>0.99819999999999998</v>
          </cell>
          <cell r="H395">
            <v>0.99</v>
          </cell>
          <cell r="I395">
            <v>0.99819999999999998</v>
          </cell>
          <cell r="J395" t="str">
            <v>K1B1_Upper</v>
          </cell>
          <cell r="K395" t="str">
            <v>CRAVO NORTE</v>
          </cell>
          <cell r="L395" t="str">
            <v>CRAVO NORTE</v>
          </cell>
          <cell r="M395" t="str">
            <v>CRAVO NORTE</v>
          </cell>
        </row>
        <row r="396">
          <cell r="B396" t="str">
            <v>LY-299</v>
          </cell>
          <cell r="C396">
            <v>345</v>
          </cell>
          <cell r="D396">
            <v>1320</v>
          </cell>
          <cell r="E396">
            <v>345</v>
          </cell>
          <cell r="F396">
            <v>0</v>
          </cell>
          <cell r="G396">
            <v>1</v>
          </cell>
          <cell r="H396">
            <v>1</v>
          </cell>
          <cell r="I396">
            <v>0.14000000000000001</v>
          </cell>
          <cell r="J396" t="str">
            <v xml:space="preserve"> </v>
          </cell>
          <cell r="K396" t="str">
            <v>CRAVO NORTE</v>
          </cell>
          <cell r="L396">
            <v>0</v>
          </cell>
          <cell r="M396" t="str">
            <v>CRAVO NORTE</v>
          </cell>
        </row>
        <row r="397">
          <cell r="B397" t="str">
            <v>LY-301</v>
          </cell>
          <cell r="C397">
            <v>6470</v>
          </cell>
          <cell r="D397">
            <v>6120</v>
          </cell>
          <cell r="E397">
            <v>6470</v>
          </cell>
          <cell r="F397">
            <v>142</v>
          </cell>
          <cell r="G397">
            <v>0.97799999999999998</v>
          </cell>
          <cell r="H397">
            <v>0.97799999999999998</v>
          </cell>
          <cell r="I397">
            <v>0.97799999999999998</v>
          </cell>
          <cell r="J397" t="str">
            <v xml:space="preserve"> </v>
          </cell>
          <cell r="K397" t="str">
            <v>CRAVO NORTE</v>
          </cell>
          <cell r="L397" t="str">
            <v>CRAVO NORTE</v>
          </cell>
          <cell r="M397" t="str">
            <v>CRAVO NORTE</v>
          </cell>
        </row>
        <row r="398">
          <cell r="B398" t="str">
            <v>LY-302</v>
          </cell>
          <cell r="C398">
            <v>5264.55</v>
          </cell>
          <cell r="D398">
            <v>5350</v>
          </cell>
          <cell r="E398">
            <v>5264.55</v>
          </cell>
          <cell r="F398">
            <v>184</v>
          </cell>
          <cell r="G398">
            <v>0.96499999999999997</v>
          </cell>
          <cell r="H398">
            <v>0.96499999999999997</v>
          </cell>
          <cell r="I398">
            <v>0.98</v>
          </cell>
          <cell r="J398" t="str">
            <v xml:space="preserve"> </v>
          </cell>
          <cell r="K398" t="str">
            <v>CRAVO NORTE</v>
          </cell>
          <cell r="L398" t="str">
            <v>CRAVO NORTE</v>
          </cell>
          <cell r="M398" t="str">
            <v>CRAVO NORTE</v>
          </cell>
        </row>
        <row r="399">
          <cell r="B399" t="str">
            <v>LY-303</v>
          </cell>
          <cell r="C399">
            <v>8050</v>
          </cell>
          <cell r="D399">
            <v>8016.66</v>
          </cell>
          <cell r="E399">
            <v>8050</v>
          </cell>
          <cell r="F399">
            <v>145</v>
          </cell>
          <cell r="G399">
            <v>0.98199999999999998</v>
          </cell>
          <cell r="H399">
            <v>0.97400000000000009</v>
          </cell>
          <cell r="I399">
            <v>0.98199999999999998</v>
          </cell>
          <cell r="J399" t="str">
            <v>M3C1</v>
          </cell>
          <cell r="K399" t="str">
            <v>CRAVO NORTE</v>
          </cell>
          <cell r="L399" t="str">
            <v>CRAVO NORTE</v>
          </cell>
          <cell r="M399" t="str">
            <v>CRAVO NORTE</v>
          </cell>
        </row>
        <row r="400">
          <cell r="B400" t="str">
            <v>MCA-01</v>
          </cell>
          <cell r="C400">
            <v>1592.75</v>
          </cell>
          <cell r="D400">
            <v>1500</v>
          </cell>
          <cell r="E400">
            <v>1592.75</v>
          </cell>
          <cell r="F400">
            <v>134</v>
          </cell>
          <cell r="G400">
            <v>0.91599999999999993</v>
          </cell>
          <cell r="H400">
            <v>0.67</v>
          </cell>
          <cell r="I400">
            <v>0.91599999999999993</v>
          </cell>
          <cell r="J400" t="str">
            <v>M2A</v>
          </cell>
          <cell r="K400" t="str">
            <v>CHIPIRON</v>
          </cell>
          <cell r="L400" t="str">
            <v>CHIPIRON</v>
          </cell>
          <cell r="M400" t="str">
            <v>CHIPIRON</v>
          </cell>
        </row>
        <row r="401">
          <cell r="B401" t="str">
            <v>MN X-02</v>
          </cell>
          <cell r="C401">
            <v>2600</v>
          </cell>
          <cell r="D401">
            <v>2032.38</v>
          </cell>
          <cell r="E401">
            <v>2600</v>
          </cell>
          <cell r="F401">
            <v>49</v>
          </cell>
          <cell r="G401">
            <v>0.98099999999999998</v>
          </cell>
          <cell r="H401">
            <v>0.97799999999999998</v>
          </cell>
          <cell r="I401">
            <v>0.98099999999999998</v>
          </cell>
          <cell r="J401" t="str">
            <v>K2A2-K2A1-K2A3</v>
          </cell>
          <cell r="K401" t="str">
            <v>CRAVO NORTE</v>
          </cell>
          <cell r="L401" t="str">
            <v>CRAVO NORTE</v>
          </cell>
          <cell r="M401" t="str">
            <v>CRAVO NORTE</v>
          </cell>
        </row>
        <row r="402">
          <cell r="B402" t="str">
            <v>MN X-03</v>
          </cell>
          <cell r="C402">
            <v>792.13</v>
          </cell>
          <cell r="D402">
            <v>808.29</v>
          </cell>
          <cell r="E402">
            <v>792.13</v>
          </cell>
          <cell r="F402">
            <v>18</v>
          </cell>
          <cell r="G402">
            <v>0.97699999999999998</v>
          </cell>
          <cell r="H402">
            <v>0.97699999999999998</v>
          </cell>
          <cell r="I402">
            <v>0.97699999999999998</v>
          </cell>
          <cell r="J402" t="str">
            <v>K2A1</v>
          </cell>
          <cell r="K402" t="str">
            <v>CRAVO NORTE</v>
          </cell>
          <cell r="L402" t="str">
            <v>CRAVO NORTE</v>
          </cell>
          <cell r="M402" t="str">
            <v>CRAVO NORTE</v>
          </cell>
        </row>
        <row r="403">
          <cell r="B403" t="str">
            <v>MN X-05</v>
          </cell>
          <cell r="C403">
            <v>8616.15</v>
          </cell>
          <cell r="D403">
            <v>8616.15</v>
          </cell>
          <cell r="E403">
            <v>0</v>
          </cell>
          <cell r="F403">
            <v>44</v>
          </cell>
          <cell r="G403">
            <v>0.9948999999999999</v>
          </cell>
          <cell r="H403">
            <v>0.9948999999999999</v>
          </cell>
          <cell r="I403">
            <v>0</v>
          </cell>
          <cell r="J403" t="str">
            <v>K2B-K2A3-K2B1</v>
          </cell>
          <cell r="K403" t="str">
            <v>CRAVO NORTE</v>
          </cell>
          <cell r="L403" t="str">
            <v>CRAVO NORTE</v>
          </cell>
          <cell r="M403">
            <v>0</v>
          </cell>
        </row>
        <row r="404">
          <cell r="B404" t="str">
            <v>MN-06</v>
          </cell>
          <cell r="C404">
            <v>24043.34</v>
          </cell>
          <cell r="D404">
            <v>24114.720000000001</v>
          </cell>
          <cell r="E404">
            <v>24043.34</v>
          </cell>
          <cell r="F404">
            <v>91</v>
          </cell>
          <cell r="G404">
            <v>0.99620000000000009</v>
          </cell>
          <cell r="H404">
            <v>0.99620000000000009</v>
          </cell>
          <cell r="I404">
            <v>0.99620000000000009</v>
          </cell>
          <cell r="J404" t="str">
            <v>M3C-M3B-M2B</v>
          </cell>
          <cell r="K404" t="str">
            <v>CRAVO NORTE</v>
          </cell>
          <cell r="L404" t="str">
            <v>CRAVO NORTE</v>
          </cell>
          <cell r="M404" t="str">
            <v>CRAVO NORTE</v>
          </cell>
        </row>
        <row r="405">
          <cell r="B405" t="str">
            <v>MN-07</v>
          </cell>
          <cell r="C405">
            <v>1165</v>
          </cell>
          <cell r="D405">
            <v>952.06</v>
          </cell>
          <cell r="E405">
            <v>1165</v>
          </cell>
          <cell r="F405">
            <v>431</v>
          </cell>
          <cell r="G405">
            <v>0.63</v>
          </cell>
          <cell r="H405">
            <v>0</v>
          </cell>
          <cell r="I405">
            <v>0.63</v>
          </cell>
          <cell r="J405" t="str">
            <v>N/A</v>
          </cell>
          <cell r="K405" t="str">
            <v>CRAVO NORTE</v>
          </cell>
          <cell r="L405" t="str">
            <v>CRAVO NORTE</v>
          </cell>
          <cell r="M405" t="str">
            <v>CRAVO NORTE</v>
          </cell>
        </row>
        <row r="406">
          <cell r="B406" t="str">
            <v>MN-08</v>
          </cell>
          <cell r="C406">
            <v>2000</v>
          </cell>
          <cell r="D406">
            <v>2000</v>
          </cell>
          <cell r="E406">
            <v>2115.48</v>
          </cell>
          <cell r="F406">
            <v>38</v>
          </cell>
          <cell r="G406">
            <v>0.97299999999999998</v>
          </cell>
          <cell r="H406">
            <v>0.98099999999999998</v>
          </cell>
          <cell r="I406">
            <v>0</v>
          </cell>
          <cell r="J406" t="str">
            <v>K2A1-K2A</v>
          </cell>
          <cell r="K406" t="str">
            <v>CRAVO NORTE</v>
          </cell>
          <cell r="L406" t="str">
            <v>CRAVO NORTE</v>
          </cell>
          <cell r="M406">
            <v>0</v>
          </cell>
        </row>
        <row r="407">
          <cell r="B407" t="str">
            <v>MN-100</v>
          </cell>
          <cell r="C407">
            <v>220</v>
          </cell>
          <cell r="D407">
            <v>150</v>
          </cell>
          <cell r="E407">
            <v>220</v>
          </cell>
          <cell r="F407">
            <v>0</v>
          </cell>
          <cell r="G407">
            <v>1</v>
          </cell>
          <cell r="H407">
            <v>0.3</v>
          </cell>
          <cell r="I407">
            <v>1</v>
          </cell>
          <cell r="J407" t="str">
            <v>N/A</v>
          </cell>
          <cell r="K407" t="str">
            <v>CRAVO NORTE</v>
          </cell>
          <cell r="L407" t="str">
            <v>CRAVO NORTE</v>
          </cell>
          <cell r="M407" t="str">
            <v>CRAVO NORTE</v>
          </cell>
        </row>
        <row r="408">
          <cell r="B408" t="str">
            <v>MN-101</v>
          </cell>
          <cell r="C408">
            <v>330</v>
          </cell>
          <cell r="D408">
            <v>300</v>
          </cell>
          <cell r="E408">
            <v>330</v>
          </cell>
          <cell r="F408">
            <v>66</v>
          </cell>
          <cell r="G408">
            <v>0.8</v>
          </cell>
          <cell r="H408">
            <v>0.8</v>
          </cell>
          <cell r="I408">
            <v>0.8</v>
          </cell>
          <cell r="J408" t="str">
            <v xml:space="preserve"> </v>
          </cell>
          <cell r="K408" t="str">
            <v>CRAVO NORTE</v>
          </cell>
          <cell r="L408" t="str">
            <v>CRAVO NORTE</v>
          </cell>
          <cell r="M408" t="str">
            <v>CRAVO NORTE</v>
          </cell>
        </row>
        <row r="409">
          <cell r="B409" t="str">
            <v>MN-12</v>
          </cell>
          <cell r="C409">
            <v>30</v>
          </cell>
          <cell r="D409">
            <v>30</v>
          </cell>
          <cell r="E409">
            <v>30</v>
          </cell>
          <cell r="F409">
            <v>26</v>
          </cell>
          <cell r="G409">
            <v>0.14000000000000001</v>
          </cell>
          <cell r="H409">
            <v>0.14000000000000001</v>
          </cell>
          <cell r="I409">
            <v>0.14000000000000001</v>
          </cell>
          <cell r="J409" t="str">
            <v>N/A</v>
          </cell>
          <cell r="K409" t="str">
            <v>CRAVO NORTE</v>
          </cell>
          <cell r="L409" t="str">
            <v>CRAVO NORTE</v>
          </cell>
          <cell r="M409" t="str">
            <v>CRAVO NORTE</v>
          </cell>
        </row>
        <row r="410">
          <cell r="B410" t="str">
            <v>MN-14</v>
          </cell>
          <cell r="C410">
            <v>698.23</v>
          </cell>
          <cell r="D410">
            <v>779.32</v>
          </cell>
          <cell r="E410">
            <v>698.23</v>
          </cell>
          <cell r="F410">
            <v>47</v>
          </cell>
          <cell r="G410">
            <v>0.93299999999999994</v>
          </cell>
          <cell r="H410">
            <v>0.93299999999999994</v>
          </cell>
          <cell r="I410">
            <v>0.93299999999999994</v>
          </cell>
          <cell r="J410" t="str">
            <v>M3B-M2A1-M2B</v>
          </cell>
          <cell r="K410" t="str">
            <v>CRAVO NORTE</v>
          </cell>
          <cell r="L410" t="str">
            <v>CRAVO NORTE</v>
          </cell>
          <cell r="M410" t="str">
            <v>CRAVO NORTE</v>
          </cell>
        </row>
        <row r="411">
          <cell r="B411" t="str">
            <v>MN-15</v>
          </cell>
          <cell r="C411">
            <v>380</v>
          </cell>
          <cell r="D411">
            <v>380</v>
          </cell>
          <cell r="E411">
            <v>0</v>
          </cell>
          <cell r="F411">
            <v>184</v>
          </cell>
          <cell r="G411">
            <v>0.51500000000000001</v>
          </cell>
          <cell r="H411">
            <v>0.51500000000000001</v>
          </cell>
          <cell r="I411">
            <v>0</v>
          </cell>
          <cell r="J411" t="str">
            <v>N/A</v>
          </cell>
          <cell r="K411" t="str">
            <v>CRAVO NORTE</v>
          </cell>
          <cell r="L411" t="str">
            <v>CRAVO NORTE</v>
          </cell>
          <cell r="M411">
            <v>0</v>
          </cell>
        </row>
        <row r="412">
          <cell r="B412" t="str">
            <v>MN-17</v>
          </cell>
          <cell r="C412">
            <v>2436.64</v>
          </cell>
          <cell r="D412">
            <v>2525.66</v>
          </cell>
          <cell r="E412">
            <v>2436.64</v>
          </cell>
          <cell r="F412">
            <v>26</v>
          </cell>
          <cell r="G412">
            <v>0.98919999999999997</v>
          </cell>
          <cell r="H412">
            <v>0.98919999999999997</v>
          </cell>
          <cell r="I412">
            <v>0.98919999999999997</v>
          </cell>
          <cell r="J412" t="str">
            <v>K2A1-K2A</v>
          </cell>
          <cell r="K412" t="str">
            <v>CRAVO NORTE</v>
          </cell>
          <cell r="L412" t="str">
            <v>CRAVO NORTE</v>
          </cell>
          <cell r="M412" t="str">
            <v>CRAVO NORTE</v>
          </cell>
        </row>
        <row r="413">
          <cell r="B413" t="str">
            <v>MN-21</v>
          </cell>
          <cell r="C413">
            <v>4250</v>
          </cell>
          <cell r="D413">
            <v>4208.21</v>
          </cell>
          <cell r="E413">
            <v>4250</v>
          </cell>
          <cell r="F413">
            <v>21</v>
          </cell>
          <cell r="G413">
            <v>0.995</v>
          </cell>
          <cell r="H413">
            <v>0.995</v>
          </cell>
          <cell r="I413">
            <v>0.995</v>
          </cell>
          <cell r="J413" t="str">
            <v>M2A</v>
          </cell>
          <cell r="K413" t="str">
            <v>CRAVO NORTE</v>
          </cell>
          <cell r="L413" t="str">
            <v>CRAVO NORTE</v>
          </cell>
          <cell r="M413" t="str">
            <v>CRAVO NORTE</v>
          </cell>
        </row>
        <row r="414">
          <cell r="B414" t="str">
            <v>MN-25</v>
          </cell>
          <cell r="C414">
            <v>1556.64</v>
          </cell>
          <cell r="D414">
            <v>1620</v>
          </cell>
          <cell r="E414">
            <v>1556.64</v>
          </cell>
          <cell r="F414">
            <v>59</v>
          </cell>
          <cell r="G414">
            <v>0.96200000000000008</v>
          </cell>
          <cell r="H414">
            <v>0.95499999999999996</v>
          </cell>
          <cell r="I414">
            <v>0.96200000000000008</v>
          </cell>
          <cell r="J414" t="str">
            <v>M2A1</v>
          </cell>
          <cell r="K414" t="str">
            <v>CRAVO NORTE</v>
          </cell>
          <cell r="L414" t="str">
            <v>CRAVO NORTE</v>
          </cell>
          <cell r="M414" t="str">
            <v>CRAVO NORTE</v>
          </cell>
        </row>
        <row r="415">
          <cell r="B415" t="str">
            <v>MN-26</v>
          </cell>
          <cell r="C415">
            <v>345.01</v>
          </cell>
          <cell r="D415">
            <v>325.02999999999997</v>
          </cell>
          <cell r="E415">
            <v>345.01</v>
          </cell>
          <cell r="F415">
            <v>44</v>
          </cell>
          <cell r="G415">
            <v>0.872</v>
          </cell>
          <cell r="H415">
            <v>0.77099999999999991</v>
          </cell>
          <cell r="I415">
            <v>0.872</v>
          </cell>
          <cell r="J415" t="str">
            <v>K1C2_Upper</v>
          </cell>
          <cell r="K415" t="str">
            <v>CRAVO NORTE</v>
          </cell>
          <cell r="L415" t="str">
            <v>CRAVO NORTE</v>
          </cell>
          <cell r="M415" t="str">
            <v>CRAVO NORTE</v>
          </cell>
        </row>
        <row r="416">
          <cell r="B416" t="str">
            <v>MN-27</v>
          </cell>
          <cell r="C416">
            <v>900</v>
          </cell>
          <cell r="D416">
            <v>855.95</v>
          </cell>
          <cell r="E416">
            <v>900</v>
          </cell>
          <cell r="F416">
            <v>36</v>
          </cell>
          <cell r="G416">
            <v>0.96</v>
          </cell>
          <cell r="H416">
            <v>0.94499999999999995</v>
          </cell>
          <cell r="I416">
            <v>0.96</v>
          </cell>
          <cell r="J416" t="str">
            <v>K2A</v>
          </cell>
          <cell r="K416" t="str">
            <v>CRAVO NORTE</v>
          </cell>
          <cell r="L416" t="str">
            <v>CRAVO NORTE</v>
          </cell>
          <cell r="M416" t="str">
            <v>CRAVO NORTE</v>
          </cell>
        </row>
        <row r="417">
          <cell r="B417" t="str">
            <v>MN-28</v>
          </cell>
          <cell r="C417">
            <v>2299.04</v>
          </cell>
          <cell r="D417">
            <v>2408.29</v>
          </cell>
          <cell r="E417">
            <v>2299.04</v>
          </cell>
          <cell r="F417">
            <v>22</v>
          </cell>
          <cell r="G417">
            <v>0.99029999999999996</v>
          </cell>
          <cell r="H417">
            <v>0.99029999999999996</v>
          </cell>
          <cell r="I417">
            <v>0.99029999999999996</v>
          </cell>
          <cell r="J417" t="str">
            <v>GUAFITA-M2B-M2A1-M2A-M1A2</v>
          </cell>
          <cell r="K417" t="str">
            <v>CRAVO NORTE</v>
          </cell>
          <cell r="L417" t="str">
            <v>CRAVO NORTE</v>
          </cell>
          <cell r="M417" t="str">
            <v>CRAVO NORTE</v>
          </cell>
        </row>
        <row r="418">
          <cell r="B418" t="str">
            <v>MN-29</v>
          </cell>
          <cell r="C418">
            <v>2839.71</v>
          </cell>
          <cell r="D418">
            <v>2960</v>
          </cell>
          <cell r="E418">
            <v>2839.71</v>
          </cell>
          <cell r="F418">
            <v>68</v>
          </cell>
          <cell r="G418">
            <v>0.97599999999999998</v>
          </cell>
          <cell r="H418">
            <v>0.97499999999999998</v>
          </cell>
          <cell r="I418">
            <v>0.97599999999999998</v>
          </cell>
          <cell r="J418" t="str">
            <v>K1D1-K1A1_Upper-K1C2_Upper-K1B1_Upper</v>
          </cell>
          <cell r="K418" t="str">
            <v>CRAVO NORTE</v>
          </cell>
          <cell r="L418" t="str">
            <v>CRAVO NORTE</v>
          </cell>
          <cell r="M418" t="str">
            <v>CRAVO NORTE</v>
          </cell>
        </row>
        <row r="419">
          <cell r="B419" t="str">
            <v>MN-32</v>
          </cell>
          <cell r="C419">
            <v>1165.3599999999999</v>
          </cell>
          <cell r="D419">
            <v>1173.43</v>
          </cell>
          <cell r="E419">
            <v>1165.3599999999999</v>
          </cell>
          <cell r="F419">
            <v>21</v>
          </cell>
          <cell r="G419">
            <v>0.98199999999999998</v>
          </cell>
          <cell r="H419">
            <v>0.98199999999999998</v>
          </cell>
          <cell r="I419">
            <v>0.98199999999999998</v>
          </cell>
          <cell r="J419" t="str">
            <v>C5dA</v>
          </cell>
          <cell r="K419" t="str">
            <v>CRAVO NORTE</v>
          </cell>
          <cell r="L419" t="str">
            <v>CRAVO NORTE</v>
          </cell>
          <cell r="M419" t="str">
            <v>CRAVO NORTE</v>
          </cell>
        </row>
        <row r="420">
          <cell r="B420" t="str">
            <v>MN-35</v>
          </cell>
          <cell r="C420">
            <v>7384.26</v>
          </cell>
          <cell r="D420">
            <v>7154.66</v>
          </cell>
          <cell r="E420">
            <v>7384.26</v>
          </cell>
          <cell r="F420">
            <v>81</v>
          </cell>
          <cell r="G420">
            <v>0.9890000000000001</v>
          </cell>
          <cell r="H420">
            <v>0.98780000000000001</v>
          </cell>
          <cell r="I420">
            <v>0.9890000000000001</v>
          </cell>
          <cell r="J420" t="str">
            <v>M2B-M1A1-M1A2-C5dB</v>
          </cell>
          <cell r="K420" t="str">
            <v>CRAVO NORTE</v>
          </cell>
          <cell r="L420" t="str">
            <v>CRAVO NORTE</v>
          </cell>
          <cell r="M420" t="str">
            <v>CRAVO NORTE</v>
          </cell>
        </row>
        <row r="421">
          <cell r="B421" t="str">
            <v>MN-37</v>
          </cell>
          <cell r="C421">
            <v>2354.13</v>
          </cell>
          <cell r="D421">
            <v>2355.5300000000002</v>
          </cell>
          <cell r="E421">
            <v>2354.13</v>
          </cell>
          <cell r="F421">
            <v>42</v>
          </cell>
          <cell r="G421">
            <v>0.98199999999999998</v>
          </cell>
          <cell r="H421">
            <v>0.98199999999999998</v>
          </cell>
          <cell r="I421">
            <v>0.98199999999999998</v>
          </cell>
          <cell r="J421" t="str">
            <v>M1A1</v>
          </cell>
          <cell r="K421" t="str">
            <v>CRAVO NORTE</v>
          </cell>
          <cell r="L421" t="str">
            <v>CRAVO NORTE</v>
          </cell>
          <cell r="M421" t="str">
            <v>CRAVO NORTE</v>
          </cell>
        </row>
        <row r="422">
          <cell r="B422" t="str">
            <v>MN-38</v>
          </cell>
          <cell r="C422">
            <v>817.4</v>
          </cell>
          <cell r="D422">
            <v>1001.16</v>
          </cell>
          <cell r="E422">
            <v>817.4</v>
          </cell>
          <cell r="F422">
            <v>13</v>
          </cell>
          <cell r="G422">
            <v>0.98409999999999997</v>
          </cell>
          <cell r="H422">
            <v>0.98299999999999998</v>
          </cell>
          <cell r="I422">
            <v>0.98409999999999997</v>
          </cell>
          <cell r="J422" t="str">
            <v>K2A</v>
          </cell>
          <cell r="K422" t="str">
            <v>CRAVO NORTE</v>
          </cell>
          <cell r="L422" t="str">
            <v>CRAVO NORTE</v>
          </cell>
          <cell r="M422" t="str">
            <v>CRAVO NORTE</v>
          </cell>
        </row>
        <row r="423">
          <cell r="B423" t="str">
            <v>MN-40</v>
          </cell>
          <cell r="C423">
            <v>7535</v>
          </cell>
          <cell r="D423">
            <v>7850.77</v>
          </cell>
          <cell r="E423">
            <v>7535</v>
          </cell>
          <cell r="F423">
            <v>59</v>
          </cell>
          <cell r="G423">
            <v>0.99219999999999997</v>
          </cell>
          <cell r="H423">
            <v>0.99180000000000001</v>
          </cell>
          <cell r="I423">
            <v>0.99219999999999997</v>
          </cell>
          <cell r="J423" t="str">
            <v>C5dB</v>
          </cell>
          <cell r="K423" t="str">
            <v>CRAVO NORTE</v>
          </cell>
          <cell r="L423" t="str">
            <v>CRAVO NORTE</v>
          </cell>
          <cell r="M423" t="str">
            <v>CRAVO NORTE</v>
          </cell>
        </row>
        <row r="424">
          <cell r="B424" t="str">
            <v>MN-41</v>
          </cell>
          <cell r="C424">
            <v>1696.39</v>
          </cell>
          <cell r="D424">
            <v>1590.01</v>
          </cell>
          <cell r="E424">
            <v>1696.39</v>
          </cell>
          <cell r="F424">
            <v>61</v>
          </cell>
          <cell r="G424">
            <v>0.96400000000000008</v>
          </cell>
          <cell r="H424">
            <v>0.96400000000000008</v>
          </cell>
          <cell r="I424">
            <v>0.96400000000000008</v>
          </cell>
          <cell r="J424" t="str">
            <v>K2A</v>
          </cell>
          <cell r="K424" t="str">
            <v>CRAVO NORTE</v>
          </cell>
          <cell r="L424" t="str">
            <v>CRAVO NORTE</v>
          </cell>
          <cell r="M424" t="str">
            <v>CRAVO NORTE</v>
          </cell>
        </row>
        <row r="425">
          <cell r="B425" t="str">
            <v>MN-43</v>
          </cell>
          <cell r="C425">
            <v>1380</v>
          </cell>
          <cell r="D425">
            <v>1323.61</v>
          </cell>
          <cell r="E425">
            <v>1380</v>
          </cell>
          <cell r="F425">
            <v>134</v>
          </cell>
          <cell r="G425">
            <v>0.90300000000000002</v>
          </cell>
          <cell r="H425">
            <v>0.90300000000000002</v>
          </cell>
          <cell r="I425">
            <v>0.90300000000000002</v>
          </cell>
          <cell r="J425" t="str">
            <v>M2B</v>
          </cell>
          <cell r="K425" t="str">
            <v>CRAVO NORTE</v>
          </cell>
          <cell r="L425" t="str">
            <v>CRAVO NORTE</v>
          </cell>
          <cell r="M425" t="str">
            <v>CRAVO NORTE</v>
          </cell>
        </row>
        <row r="426">
          <cell r="B426" t="str">
            <v>MN-44</v>
          </cell>
          <cell r="C426">
            <v>5237.0200000000004</v>
          </cell>
          <cell r="D426">
            <v>5470.91</v>
          </cell>
          <cell r="E426">
            <v>5237.0200000000004</v>
          </cell>
          <cell r="F426">
            <v>37</v>
          </cell>
          <cell r="G426">
            <v>0.99290000000000012</v>
          </cell>
          <cell r="H426">
            <v>0.99209999999999998</v>
          </cell>
          <cell r="I426">
            <v>0.99290000000000012</v>
          </cell>
          <cell r="J426" t="str">
            <v>K2A1-K2A</v>
          </cell>
          <cell r="K426" t="str">
            <v>CRAVO NORTE</v>
          </cell>
          <cell r="L426" t="str">
            <v>CRAVO NORTE</v>
          </cell>
          <cell r="M426" t="str">
            <v>CRAVO NORTE</v>
          </cell>
        </row>
        <row r="427">
          <cell r="B427" t="str">
            <v>MN-45</v>
          </cell>
          <cell r="C427">
            <v>827.2</v>
          </cell>
          <cell r="D427">
            <v>937.43</v>
          </cell>
          <cell r="E427">
            <v>827.2</v>
          </cell>
          <cell r="F427">
            <v>23</v>
          </cell>
          <cell r="G427">
            <v>0.97199999999999998</v>
          </cell>
          <cell r="H427">
            <v>0.98</v>
          </cell>
          <cell r="I427">
            <v>0.97199999999999998</v>
          </cell>
          <cell r="J427" t="str">
            <v>M2A1</v>
          </cell>
          <cell r="K427" t="str">
            <v>CRAVO NORTE</v>
          </cell>
          <cell r="L427" t="str">
            <v>CRAVO NORTE</v>
          </cell>
          <cell r="M427" t="str">
            <v>CRAVO NORTE</v>
          </cell>
        </row>
        <row r="428">
          <cell r="B428" t="str">
            <v>MN-48</v>
          </cell>
          <cell r="C428">
            <v>1070</v>
          </cell>
          <cell r="D428">
            <v>903.56</v>
          </cell>
          <cell r="E428">
            <v>1070</v>
          </cell>
          <cell r="F428">
            <v>63</v>
          </cell>
          <cell r="G428">
            <v>0.94099999999999995</v>
          </cell>
          <cell r="H428">
            <v>0.94099999999999995</v>
          </cell>
          <cell r="I428">
            <v>0.94099999999999995</v>
          </cell>
          <cell r="J428" t="str">
            <v>K2A2</v>
          </cell>
          <cell r="K428" t="str">
            <v>CRAVO NORTE</v>
          </cell>
          <cell r="L428" t="str">
            <v>CRAVO NORTE</v>
          </cell>
          <cell r="M428" t="str">
            <v>CRAVO NORTE</v>
          </cell>
        </row>
        <row r="429">
          <cell r="B429" t="str">
            <v>MN-49</v>
          </cell>
          <cell r="C429">
            <v>2762.07</v>
          </cell>
          <cell r="D429">
            <v>3335.3</v>
          </cell>
          <cell r="E429">
            <v>2762.07</v>
          </cell>
          <cell r="F429">
            <v>14</v>
          </cell>
          <cell r="G429">
            <v>0.995</v>
          </cell>
          <cell r="H429">
            <v>0.99529999999999996</v>
          </cell>
          <cell r="I429">
            <v>0.995</v>
          </cell>
          <cell r="J429" t="str">
            <v>M2B</v>
          </cell>
          <cell r="K429" t="str">
            <v>CRAVO NORTE</v>
          </cell>
          <cell r="L429" t="str">
            <v>CRAVO NORTE</v>
          </cell>
          <cell r="M429" t="str">
            <v>CRAVO NORTE</v>
          </cell>
        </row>
        <row r="430">
          <cell r="B430" t="str">
            <v>MN-50</v>
          </cell>
          <cell r="C430">
            <v>2400</v>
          </cell>
          <cell r="D430">
            <v>1665.98</v>
          </cell>
          <cell r="E430">
            <v>2400</v>
          </cell>
          <cell r="F430">
            <v>156</v>
          </cell>
          <cell r="G430">
            <v>0.93500000000000005</v>
          </cell>
          <cell r="H430">
            <v>0.94799999999999995</v>
          </cell>
          <cell r="I430">
            <v>0.93500000000000005</v>
          </cell>
          <cell r="J430" t="str">
            <v>M3B</v>
          </cell>
          <cell r="K430" t="str">
            <v>CRAVO NORTE</v>
          </cell>
          <cell r="L430" t="str">
            <v>CRAVO NORTE</v>
          </cell>
          <cell r="M430" t="str">
            <v>CRAVO NORTE</v>
          </cell>
        </row>
        <row r="431">
          <cell r="B431" t="str">
            <v>MN-51</v>
          </cell>
          <cell r="C431">
            <v>2100</v>
          </cell>
          <cell r="D431">
            <v>2100</v>
          </cell>
          <cell r="E431">
            <v>0</v>
          </cell>
          <cell r="F431">
            <v>21</v>
          </cell>
          <cell r="G431">
            <v>0.9899</v>
          </cell>
          <cell r="H431">
            <v>0.9899</v>
          </cell>
          <cell r="I431">
            <v>0</v>
          </cell>
          <cell r="J431" t="str">
            <v>M2A1</v>
          </cell>
          <cell r="K431" t="str">
            <v>CRAVO NORTE</v>
          </cell>
          <cell r="L431" t="str">
            <v>CRAVO NORTE</v>
          </cell>
          <cell r="M431">
            <v>0</v>
          </cell>
        </row>
        <row r="432">
          <cell r="B432" t="str">
            <v>MN-52</v>
          </cell>
          <cell r="C432">
            <v>2600</v>
          </cell>
          <cell r="D432">
            <v>2600</v>
          </cell>
          <cell r="E432">
            <v>0</v>
          </cell>
          <cell r="F432">
            <v>2600</v>
          </cell>
          <cell r="G432">
            <v>0</v>
          </cell>
          <cell r="H432">
            <v>0</v>
          </cell>
          <cell r="I432">
            <v>0</v>
          </cell>
          <cell r="J432" t="str">
            <v>N/A</v>
          </cell>
          <cell r="K432" t="str">
            <v>CRAVO NORTE</v>
          </cell>
          <cell r="L432" t="str">
            <v>CRAVO NORTE</v>
          </cell>
          <cell r="M432">
            <v>0</v>
          </cell>
        </row>
        <row r="433">
          <cell r="B433" t="str">
            <v>MN-53</v>
          </cell>
          <cell r="C433">
            <v>155</v>
          </cell>
          <cell r="D433">
            <v>155</v>
          </cell>
          <cell r="E433">
            <v>0</v>
          </cell>
          <cell r="F433">
            <v>60</v>
          </cell>
          <cell r="G433">
            <v>0.61</v>
          </cell>
          <cell r="H433">
            <v>0.61</v>
          </cell>
          <cell r="I433">
            <v>0</v>
          </cell>
          <cell r="J433" t="str">
            <v>K1E-K2A</v>
          </cell>
          <cell r="K433" t="str">
            <v>CRAVO NORTE</v>
          </cell>
          <cell r="L433" t="str">
            <v>CRAVO NORTE</v>
          </cell>
          <cell r="M433">
            <v>0</v>
          </cell>
        </row>
        <row r="434">
          <cell r="B434" t="str">
            <v>MN-55</v>
          </cell>
          <cell r="C434">
            <v>4122.2</v>
          </cell>
          <cell r="D434">
            <v>4161.33</v>
          </cell>
          <cell r="E434">
            <v>4122.2</v>
          </cell>
          <cell r="F434">
            <v>14</v>
          </cell>
          <cell r="G434">
            <v>0.99670000000000003</v>
          </cell>
          <cell r="H434">
            <v>0.99</v>
          </cell>
          <cell r="I434">
            <v>0.99670000000000003</v>
          </cell>
          <cell r="J434" t="str">
            <v>K2A</v>
          </cell>
          <cell r="K434" t="str">
            <v>CRAVO NORTE</v>
          </cell>
          <cell r="L434" t="str">
            <v>CRAVO NORTE</v>
          </cell>
          <cell r="M434" t="str">
            <v>CRAVO NORTE</v>
          </cell>
        </row>
        <row r="435">
          <cell r="B435" t="str">
            <v>MN-56</v>
          </cell>
          <cell r="C435">
            <v>11815.54</v>
          </cell>
          <cell r="D435">
            <v>12800</v>
          </cell>
          <cell r="E435">
            <v>11815.54</v>
          </cell>
          <cell r="F435">
            <v>151</v>
          </cell>
          <cell r="G435">
            <v>0.98719999999999997</v>
          </cell>
          <cell r="H435">
            <v>0.98799999999999999</v>
          </cell>
          <cell r="I435">
            <v>0.98719999999999997</v>
          </cell>
          <cell r="J435" t="str">
            <v>K2A1-K2A</v>
          </cell>
          <cell r="K435" t="str">
            <v>CRAVO NORTE</v>
          </cell>
          <cell r="L435" t="str">
            <v>CRAVO NORTE</v>
          </cell>
          <cell r="M435" t="str">
            <v>CRAVO NORTE</v>
          </cell>
        </row>
        <row r="436">
          <cell r="B436" t="str">
            <v>MN-57</v>
          </cell>
          <cell r="C436">
            <v>827.95</v>
          </cell>
          <cell r="D436">
            <v>911.21</v>
          </cell>
          <cell r="E436">
            <v>827.95</v>
          </cell>
          <cell r="F436">
            <v>66</v>
          </cell>
          <cell r="G436">
            <v>0.92</v>
          </cell>
          <cell r="H436">
            <v>0.91700000000000004</v>
          </cell>
          <cell r="I436">
            <v>0.92</v>
          </cell>
          <cell r="J436" t="str">
            <v>K1A1_ower</v>
          </cell>
          <cell r="K436" t="str">
            <v>CRAVO NORTE</v>
          </cell>
          <cell r="L436" t="str">
            <v>CRAVO NORTE</v>
          </cell>
          <cell r="M436" t="str">
            <v>CRAVO NORTE</v>
          </cell>
        </row>
        <row r="437">
          <cell r="B437" t="str">
            <v>MN-58</v>
          </cell>
          <cell r="C437">
            <v>3926.63</v>
          </cell>
          <cell r="D437">
            <v>4350.03</v>
          </cell>
          <cell r="E437">
            <v>3926.63</v>
          </cell>
          <cell r="F437">
            <v>48</v>
          </cell>
          <cell r="G437">
            <v>0.98780000000000001</v>
          </cell>
          <cell r="H437">
            <v>0.98780000000000001</v>
          </cell>
          <cell r="I437">
            <v>0.98780000000000001</v>
          </cell>
          <cell r="J437" t="str">
            <v>K2A</v>
          </cell>
          <cell r="K437" t="str">
            <v>CRAVO NORTE</v>
          </cell>
          <cell r="L437" t="str">
            <v>CRAVO NORTE</v>
          </cell>
          <cell r="M437" t="str">
            <v>CRAVO NORTE</v>
          </cell>
        </row>
        <row r="438">
          <cell r="B438" t="str">
            <v>MN-59</v>
          </cell>
          <cell r="C438">
            <v>1490</v>
          </cell>
          <cell r="D438">
            <v>3600</v>
          </cell>
          <cell r="E438">
            <v>1490</v>
          </cell>
          <cell r="F438">
            <v>164</v>
          </cell>
          <cell r="G438">
            <v>0.89</v>
          </cell>
          <cell r="H438">
            <v>0.99409999999999998</v>
          </cell>
          <cell r="I438">
            <v>0.89</v>
          </cell>
          <cell r="J438" t="str">
            <v>K2A</v>
          </cell>
          <cell r="K438" t="str">
            <v>CRAVO NORTE</v>
          </cell>
          <cell r="L438" t="str">
            <v>CRAVO NORTE</v>
          </cell>
          <cell r="M438" t="str">
            <v>CRAVO NORTE</v>
          </cell>
        </row>
        <row r="439">
          <cell r="B439" t="str">
            <v>MN-63</v>
          </cell>
          <cell r="C439">
            <v>2337.75</v>
          </cell>
          <cell r="D439">
            <v>2376.2399999999998</v>
          </cell>
          <cell r="E439">
            <v>2337.75</v>
          </cell>
          <cell r="F439">
            <v>94</v>
          </cell>
          <cell r="G439">
            <v>0.96</v>
          </cell>
          <cell r="H439">
            <v>0.95650000000000002</v>
          </cell>
          <cell r="I439">
            <v>0.96</v>
          </cell>
          <cell r="J439" t="str">
            <v>C5dB</v>
          </cell>
          <cell r="K439" t="str">
            <v>CRAVO NORTE</v>
          </cell>
          <cell r="L439" t="str">
            <v>CRAVO NORTE</v>
          </cell>
          <cell r="M439" t="str">
            <v>CRAVO NORTE</v>
          </cell>
        </row>
        <row r="440">
          <cell r="B440" t="str">
            <v>MN-64</v>
          </cell>
          <cell r="C440">
            <v>480</v>
          </cell>
          <cell r="D440">
            <v>480</v>
          </cell>
          <cell r="E440">
            <v>0</v>
          </cell>
          <cell r="F440">
            <v>84</v>
          </cell>
          <cell r="G440">
            <v>0.82499999999999996</v>
          </cell>
          <cell r="H440">
            <v>0.82499999999999996</v>
          </cell>
          <cell r="I440">
            <v>0</v>
          </cell>
          <cell r="J440" t="str">
            <v>K2A</v>
          </cell>
          <cell r="K440" t="str">
            <v>CRAVO NORTE</v>
          </cell>
          <cell r="L440" t="str">
            <v>CRAVO NORTE</v>
          </cell>
          <cell r="M440">
            <v>0</v>
          </cell>
        </row>
        <row r="441">
          <cell r="B441" t="str">
            <v>MN-65</v>
          </cell>
          <cell r="C441">
            <v>1563.24</v>
          </cell>
          <cell r="D441">
            <v>2029.06</v>
          </cell>
          <cell r="E441">
            <v>1563.24</v>
          </cell>
          <cell r="F441">
            <v>31</v>
          </cell>
          <cell r="G441">
            <v>0.98</v>
          </cell>
          <cell r="H441">
            <v>0.98</v>
          </cell>
          <cell r="I441">
            <v>0.98</v>
          </cell>
          <cell r="J441" t="str">
            <v>M3B</v>
          </cell>
          <cell r="K441" t="str">
            <v>CRAVO NORTE</v>
          </cell>
          <cell r="L441" t="str">
            <v>CRAVO NORTE</v>
          </cell>
          <cell r="M441" t="str">
            <v>CRAVO NORTE</v>
          </cell>
        </row>
        <row r="442">
          <cell r="B442" t="str">
            <v>MN-66</v>
          </cell>
          <cell r="C442">
            <v>4629.75</v>
          </cell>
          <cell r="D442">
            <v>4629.75</v>
          </cell>
          <cell r="E442">
            <v>0</v>
          </cell>
          <cell r="F442">
            <v>116</v>
          </cell>
          <cell r="G442">
            <v>0.97499999999999998</v>
          </cell>
          <cell r="H442">
            <v>0.97499999999999998</v>
          </cell>
          <cell r="I442">
            <v>0</v>
          </cell>
          <cell r="J442" t="str">
            <v>K2A</v>
          </cell>
          <cell r="K442" t="str">
            <v>CRAVO NORTE</v>
          </cell>
          <cell r="L442" t="str">
            <v>CRAVO NORTE</v>
          </cell>
          <cell r="M442">
            <v>0</v>
          </cell>
        </row>
        <row r="443">
          <cell r="B443" t="str">
            <v>MN-67</v>
          </cell>
          <cell r="C443">
            <v>2026.11</v>
          </cell>
          <cell r="D443">
            <v>2067.3000000000002</v>
          </cell>
          <cell r="E443">
            <v>2026.11</v>
          </cell>
          <cell r="F443">
            <v>34</v>
          </cell>
          <cell r="G443">
            <v>0.98299999999999998</v>
          </cell>
          <cell r="H443">
            <v>0.98199999999999998</v>
          </cell>
          <cell r="I443">
            <v>0.98299999999999998</v>
          </cell>
          <cell r="J443" t="str">
            <v>N/A</v>
          </cell>
          <cell r="K443" t="str">
            <v>CRAVO NORTE</v>
          </cell>
          <cell r="L443" t="str">
            <v>CRAVO NORTE</v>
          </cell>
          <cell r="M443" t="str">
            <v>CRAVO NORTE</v>
          </cell>
        </row>
        <row r="444">
          <cell r="B444" t="str">
            <v>MN-68ST</v>
          </cell>
          <cell r="C444">
            <v>673.78</v>
          </cell>
          <cell r="D444">
            <v>758.7</v>
          </cell>
          <cell r="E444">
            <v>673.78</v>
          </cell>
          <cell r="F444">
            <v>81</v>
          </cell>
          <cell r="G444">
            <v>0.88</v>
          </cell>
          <cell r="H444">
            <v>0.88</v>
          </cell>
          <cell r="I444">
            <v>0.92599999999999993</v>
          </cell>
          <cell r="J444" t="str">
            <v>N/A</v>
          </cell>
          <cell r="K444" t="str">
            <v>CRAVO NORTE</v>
          </cell>
          <cell r="L444" t="str">
            <v>CRAVO NORTE</v>
          </cell>
          <cell r="M444" t="str">
            <v>CRAVO NORTE</v>
          </cell>
        </row>
        <row r="445">
          <cell r="B445" t="str">
            <v>MN-70</v>
          </cell>
          <cell r="C445">
            <v>50</v>
          </cell>
          <cell r="D445">
            <v>25</v>
          </cell>
          <cell r="E445">
            <v>50</v>
          </cell>
          <cell r="F445">
            <v>14</v>
          </cell>
          <cell r="G445">
            <v>0.73</v>
          </cell>
          <cell r="H445">
            <v>0.2</v>
          </cell>
          <cell r="I445">
            <v>0.73</v>
          </cell>
          <cell r="J445" t="str">
            <v>C5dA</v>
          </cell>
          <cell r="K445" t="str">
            <v>CRAVO NORTE</v>
          </cell>
          <cell r="L445" t="str">
            <v>CRAVO NORTE</v>
          </cell>
          <cell r="M445" t="str">
            <v>CRAVO NORTE</v>
          </cell>
        </row>
        <row r="446">
          <cell r="B446" t="str">
            <v>MN-71</v>
          </cell>
          <cell r="C446">
            <v>120</v>
          </cell>
          <cell r="D446">
            <v>1424</v>
          </cell>
          <cell r="E446">
            <v>120</v>
          </cell>
          <cell r="F446">
            <v>110</v>
          </cell>
          <cell r="G446">
            <v>0.08</v>
          </cell>
          <cell r="H446">
            <v>0.99199999999999999</v>
          </cell>
          <cell r="I446">
            <v>0.08</v>
          </cell>
          <cell r="J446" t="str">
            <v>M2B</v>
          </cell>
          <cell r="K446" t="str">
            <v>CRAVO NORTE</v>
          </cell>
          <cell r="L446" t="str">
            <v>CRAVO NORTE</v>
          </cell>
          <cell r="M446" t="str">
            <v>CRAVO NORTE</v>
          </cell>
        </row>
        <row r="447">
          <cell r="B447" t="str">
            <v>MN-72</v>
          </cell>
          <cell r="C447">
            <v>1422.37</v>
          </cell>
          <cell r="D447">
            <v>980</v>
          </cell>
          <cell r="E447">
            <v>1422.37</v>
          </cell>
          <cell r="F447">
            <v>63</v>
          </cell>
          <cell r="G447">
            <v>0.95599999999999996</v>
          </cell>
          <cell r="H447">
            <v>0.93</v>
          </cell>
          <cell r="I447">
            <v>0.95599999999999996</v>
          </cell>
          <cell r="J447" t="str">
            <v>K1C2_Upper</v>
          </cell>
          <cell r="K447" t="str">
            <v>CRAVO NORTE</v>
          </cell>
          <cell r="L447" t="str">
            <v>CRAVO NORTE</v>
          </cell>
          <cell r="M447" t="str">
            <v>CRAVO NORTE</v>
          </cell>
        </row>
        <row r="448">
          <cell r="B448" t="str">
            <v>MN-73</v>
          </cell>
          <cell r="C448">
            <v>1280</v>
          </cell>
          <cell r="D448">
            <v>4240.47</v>
          </cell>
          <cell r="E448">
            <v>1280</v>
          </cell>
          <cell r="F448">
            <v>140</v>
          </cell>
          <cell r="G448">
            <v>0.8909999999999999</v>
          </cell>
          <cell r="H448">
            <v>0.9890000000000001</v>
          </cell>
          <cell r="I448">
            <v>0.8909999999999999</v>
          </cell>
          <cell r="J448" t="str">
            <v>M1A2</v>
          </cell>
          <cell r="K448" t="str">
            <v>CRAVO NORTE</v>
          </cell>
          <cell r="L448" t="str">
            <v>CRAVO NORTE</v>
          </cell>
          <cell r="M448" t="str">
            <v>CRAVO NORTE</v>
          </cell>
        </row>
        <row r="449">
          <cell r="B449" t="str">
            <v>MN-74</v>
          </cell>
          <cell r="C449">
            <v>1351.77</v>
          </cell>
          <cell r="D449">
            <v>2163.9299999999998</v>
          </cell>
          <cell r="E449">
            <v>1351.77</v>
          </cell>
          <cell r="F449">
            <v>23</v>
          </cell>
          <cell r="G449">
            <v>0.98299999999999998</v>
          </cell>
          <cell r="H449">
            <v>0.98299999999999998</v>
          </cell>
          <cell r="I449">
            <v>0.98299999999999998</v>
          </cell>
          <cell r="J449" t="str">
            <v>K2A</v>
          </cell>
          <cell r="K449" t="str">
            <v>CRAVO NORTE</v>
          </cell>
          <cell r="L449" t="str">
            <v>CRAVO NORTE</v>
          </cell>
          <cell r="M449" t="str">
            <v>CRAVO NORTE</v>
          </cell>
        </row>
        <row r="450">
          <cell r="B450" t="str">
            <v>MN-75</v>
          </cell>
          <cell r="C450">
            <v>3000</v>
          </cell>
          <cell r="D450">
            <v>2012.43</v>
          </cell>
          <cell r="E450">
            <v>3000</v>
          </cell>
          <cell r="F450">
            <v>60</v>
          </cell>
          <cell r="G450">
            <v>0.98</v>
          </cell>
          <cell r="H450">
            <v>0.98599999999999999</v>
          </cell>
          <cell r="I450">
            <v>0.98</v>
          </cell>
          <cell r="J450" t="str">
            <v>K2A</v>
          </cell>
          <cell r="K450" t="str">
            <v>CRAVO NORTE</v>
          </cell>
          <cell r="L450" t="str">
            <v>CRAVO NORTE</v>
          </cell>
          <cell r="M450" t="str">
            <v>CRAVO NORTE</v>
          </cell>
        </row>
        <row r="451">
          <cell r="B451" t="str">
            <v>MN-77ST</v>
          </cell>
          <cell r="C451">
            <v>7500</v>
          </cell>
          <cell r="D451">
            <v>9625.7199999999993</v>
          </cell>
          <cell r="E451">
            <v>7500</v>
          </cell>
          <cell r="F451">
            <v>75</v>
          </cell>
          <cell r="G451">
            <v>0.99</v>
          </cell>
          <cell r="H451">
            <v>0.99930000000000008</v>
          </cell>
          <cell r="I451">
            <v>0.99</v>
          </cell>
          <cell r="J451" t="str">
            <v>M2A</v>
          </cell>
          <cell r="K451" t="str">
            <v>CRAVO NORTE</v>
          </cell>
          <cell r="L451" t="str">
            <v>CRAVO NORTE</v>
          </cell>
          <cell r="M451" t="str">
            <v>CRAVO NORTE</v>
          </cell>
        </row>
        <row r="452">
          <cell r="B452" t="str">
            <v>MN-78</v>
          </cell>
          <cell r="C452">
            <v>703</v>
          </cell>
          <cell r="D452">
            <v>680</v>
          </cell>
          <cell r="E452">
            <v>703</v>
          </cell>
          <cell r="F452">
            <v>117</v>
          </cell>
          <cell r="G452">
            <v>0.83329999999999993</v>
          </cell>
          <cell r="H452">
            <v>0.83499999999999996</v>
          </cell>
          <cell r="I452">
            <v>0.83329999999999993</v>
          </cell>
          <cell r="J452" t="str">
            <v>M1A2</v>
          </cell>
          <cell r="K452" t="str">
            <v>CRAVO NORTE</v>
          </cell>
          <cell r="L452" t="str">
            <v>CRAVO NORTE</v>
          </cell>
          <cell r="M452" t="str">
            <v>CRAVO NORTE</v>
          </cell>
        </row>
        <row r="453">
          <cell r="B453" t="str">
            <v>MN-79</v>
          </cell>
          <cell r="C453">
            <v>19905.21</v>
          </cell>
          <cell r="D453">
            <v>21645.87</v>
          </cell>
          <cell r="E453">
            <v>19905.21</v>
          </cell>
          <cell r="F453">
            <v>86</v>
          </cell>
          <cell r="G453">
            <v>0.99569999999999992</v>
          </cell>
          <cell r="H453">
            <v>0.99569999999999992</v>
          </cell>
          <cell r="I453">
            <v>0.99569999999999992</v>
          </cell>
          <cell r="J453" t="str">
            <v>M2B</v>
          </cell>
          <cell r="K453" t="str">
            <v>CRAVO NORTE</v>
          </cell>
          <cell r="L453" t="str">
            <v>CRAVO NORTE</v>
          </cell>
          <cell r="M453" t="str">
            <v>CRAVO NORTE</v>
          </cell>
        </row>
        <row r="454">
          <cell r="B454" t="str">
            <v>MN-80</v>
          </cell>
          <cell r="C454">
            <v>611.98</v>
          </cell>
          <cell r="D454">
            <v>611.98</v>
          </cell>
          <cell r="E454">
            <v>0</v>
          </cell>
          <cell r="F454">
            <v>135</v>
          </cell>
          <cell r="G454">
            <v>0.78</v>
          </cell>
          <cell r="H454">
            <v>0.78</v>
          </cell>
          <cell r="I454">
            <v>0</v>
          </cell>
          <cell r="J454" t="str">
            <v>C5dA</v>
          </cell>
          <cell r="K454" t="str">
            <v>CRAVO NORTE</v>
          </cell>
          <cell r="L454" t="str">
            <v>CRAVO NORTE</v>
          </cell>
          <cell r="M454">
            <v>0</v>
          </cell>
        </row>
        <row r="455">
          <cell r="B455" t="str">
            <v>MN-81</v>
          </cell>
          <cell r="C455">
            <v>566.5</v>
          </cell>
          <cell r="D455">
            <v>575.47</v>
          </cell>
          <cell r="E455">
            <v>566.5</v>
          </cell>
          <cell r="F455">
            <v>91</v>
          </cell>
          <cell r="G455">
            <v>0.84</v>
          </cell>
          <cell r="H455">
            <v>0.84</v>
          </cell>
          <cell r="I455">
            <v>0.84</v>
          </cell>
          <cell r="J455" t="str">
            <v>N/A</v>
          </cell>
          <cell r="K455" t="str">
            <v>CRAVO NORTE</v>
          </cell>
          <cell r="L455" t="str">
            <v>CRAVO NORTE</v>
          </cell>
          <cell r="M455" t="str">
            <v>CRAVO NORTE</v>
          </cell>
        </row>
        <row r="456">
          <cell r="B456" t="str">
            <v>MN-82</v>
          </cell>
          <cell r="C456">
            <v>2471.85</v>
          </cell>
          <cell r="D456">
            <v>2504.9699999999998</v>
          </cell>
          <cell r="E456">
            <v>2471.85</v>
          </cell>
          <cell r="F456">
            <v>28</v>
          </cell>
          <cell r="G456">
            <v>0.9887999999999999</v>
          </cell>
          <cell r="H456">
            <v>0.9887999999999999</v>
          </cell>
          <cell r="I456">
            <v>0.9887999999999999</v>
          </cell>
          <cell r="J456" t="str">
            <v>K2A</v>
          </cell>
          <cell r="K456" t="str">
            <v>CRAVO NORTE</v>
          </cell>
          <cell r="L456" t="str">
            <v>CRAVO NORTE</v>
          </cell>
          <cell r="M456" t="str">
            <v>CRAVO NORTE</v>
          </cell>
        </row>
        <row r="457">
          <cell r="B457" t="str">
            <v>MN-83</v>
          </cell>
          <cell r="C457">
            <v>8815.83</v>
          </cell>
          <cell r="D457">
            <v>9010</v>
          </cell>
          <cell r="E457">
            <v>8815.83</v>
          </cell>
          <cell r="F457">
            <v>63</v>
          </cell>
          <cell r="G457">
            <v>0.99280000000000002</v>
          </cell>
          <cell r="H457">
            <v>0.99159999999999993</v>
          </cell>
          <cell r="I457">
            <v>0.99280000000000002</v>
          </cell>
          <cell r="J457" t="str">
            <v>C5dB</v>
          </cell>
          <cell r="K457" t="str">
            <v>CRAVO NORTE</v>
          </cell>
          <cell r="L457" t="str">
            <v>CRAVO NORTE</v>
          </cell>
          <cell r="M457" t="str">
            <v>CRAVO NORTE</v>
          </cell>
        </row>
        <row r="458">
          <cell r="B458" t="str">
            <v>MN-84</v>
          </cell>
          <cell r="C458">
            <v>772.63</v>
          </cell>
          <cell r="D458">
            <v>858.41</v>
          </cell>
          <cell r="E458">
            <v>772.63</v>
          </cell>
          <cell r="F458">
            <v>33</v>
          </cell>
          <cell r="G458">
            <v>0.95700000000000007</v>
          </cell>
          <cell r="H458">
            <v>0.95609999999999995</v>
          </cell>
          <cell r="I458">
            <v>0.95700000000000007</v>
          </cell>
          <cell r="J458" t="str">
            <v>M2B</v>
          </cell>
          <cell r="K458" t="str">
            <v>CRAVO NORTE</v>
          </cell>
          <cell r="L458" t="str">
            <v>CRAVO NORTE</v>
          </cell>
          <cell r="M458" t="str">
            <v>CRAVO NORTE</v>
          </cell>
        </row>
        <row r="459">
          <cell r="B459" t="str">
            <v>MN-85</v>
          </cell>
          <cell r="C459">
            <v>3690.6</v>
          </cell>
          <cell r="D459">
            <v>3980.68</v>
          </cell>
          <cell r="E459">
            <v>3690.6</v>
          </cell>
          <cell r="F459">
            <v>48</v>
          </cell>
          <cell r="G459">
            <v>0.98699999999999999</v>
          </cell>
          <cell r="H459">
            <v>0.98699999999999999</v>
          </cell>
          <cell r="I459">
            <v>0.98699999999999999</v>
          </cell>
          <cell r="J459" t="str">
            <v>M2A</v>
          </cell>
          <cell r="K459" t="str">
            <v>CRAVO NORTE</v>
          </cell>
          <cell r="L459" t="str">
            <v>CRAVO NORTE</v>
          </cell>
          <cell r="M459" t="str">
            <v>CRAVO NORTE</v>
          </cell>
        </row>
        <row r="460">
          <cell r="B460" t="str">
            <v>MN-86</v>
          </cell>
          <cell r="C460">
            <v>2328.48</v>
          </cell>
          <cell r="D460">
            <v>2366.88</v>
          </cell>
          <cell r="E460">
            <v>2328.48</v>
          </cell>
          <cell r="F460">
            <v>135</v>
          </cell>
          <cell r="G460">
            <v>0.94200000000000006</v>
          </cell>
          <cell r="H460">
            <v>0.94700000000000006</v>
          </cell>
          <cell r="I460">
            <v>0.94200000000000006</v>
          </cell>
          <cell r="J460" t="str">
            <v>M2B</v>
          </cell>
          <cell r="K460" t="str">
            <v>CRAVO NORTE</v>
          </cell>
          <cell r="L460" t="str">
            <v>CRAVO NORTE</v>
          </cell>
          <cell r="M460" t="str">
            <v>CRAVO NORTE</v>
          </cell>
        </row>
        <row r="461">
          <cell r="B461" t="str">
            <v>MN-87ST</v>
          </cell>
          <cell r="C461">
            <v>4166.37</v>
          </cell>
          <cell r="D461">
            <v>4230.07</v>
          </cell>
          <cell r="E461">
            <v>4166.37</v>
          </cell>
          <cell r="F461">
            <v>16</v>
          </cell>
          <cell r="G461">
            <v>0.99620000000000009</v>
          </cell>
          <cell r="H461">
            <v>0.99620000000000009</v>
          </cell>
          <cell r="I461">
            <v>0.99620000000000009</v>
          </cell>
          <cell r="J461" t="str">
            <v>K2A</v>
          </cell>
          <cell r="K461" t="str">
            <v>CRAVO NORTE</v>
          </cell>
          <cell r="L461" t="str">
            <v>CRAVO NORTE</v>
          </cell>
          <cell r="M461" t="str">
            <v>CRAVO NORTE</v>
          </cell>
        </row>
        <row r="462">
          <cell r="B462" t="str">
            <v>MN-89</v>
          </cell>
          <cell r="C462">
            <v>6719.77</v>
          </cell>
          <cell r="D462">
            <v>6977.01</v>
          </cell>
          <cell r="E462">
            <v>6719.77</v>
          </cell>
          <cell r="F462">
            <v>44</v>
          </cell>
          <cell r="G462">
            <v>0.99349999999999994</v>
          </cell>
          <cell r="H462">
            <v>0.9840000000000001</v>
          </cell>
          <cell r="I462">
            <v>0.99349999999999994</v>
          </cell>
          <cell r="J462" t="str">
            <v>M1A1</v>
          </cell>
          <cell r="K462" t="str">
            <v>CRAVO NORTE</v>
          </cell>
          <cell r="L462" t="str">
            <v>CRAVO NORTE</v>
          </cell>
          <cell r="M462" t="str">
            <v>CRAVO NORTE</v>
          </cell>
        </row>
        <row r="463">
          <cell r="B463" t="str">
            <v>MN-92</v>
          </cell>
          <cell r="C463">
            <v>244.65</v>
          </cell>
          <cell r="D463">
            <v>244.65</v>
          </cell>
          <cell r="E463">
            <v>0</v>
          </cell>
          <cell r="F463">
            <v>50</v>
          </cell>
          <cell r="G463">
            <v>0.79400000000000004</v>
          </cell>
          <cell r="H463">
            <v>0.79400000000000004</v>
          </cell>
          <cell r="I463">
            <v>0</v>
          </cell>
          <cell r="J463" t="str">
            <v>K1C1_ower</v>
          </cell>
          <cell r="K463" t="str">
            <v>CRAVO NORTE</v>
          </cell>
          <cell r="L463" t="str">
            <v>CRAVO NORTE</v>
          </cell>
          <cell r="M463">
            <v>0</v>
          </cell>
        </row>
        <row r="464">
          <cell r="B464" t="str">
            <v>MN-93</v>
          </cell>
          <cell r="C464">
            <v>963.65</v>
          </cell>
          <cell r="D464">
            <v>1005.78</v>
          </cell>
          <cell r="E464">
            <v>963.65</v>
          </cell>
          <cell r="F464">
            <v>84</v>
          </cell>
          <cell r="G464">
            <v>0.91299999999999992</v>
          </cell>
          <cell r="H464">
            <v>0.91299999999999992</v>
          </cell>
          <cell r="I464">
            <v>0.91299999999999992</v>
          </cell>
          <cell r="J464" t="str">
            <v>M2A1</v>
          </cell>
          <cell r="K464" t="str">
            <v>CRAVO NORTE</v>
          </cell>
          <cell r="L464" t="str">
            <v>CRAVO NORTE</v>
          </cell>
          <cell r="M464" t="str">
            <v>CRAVO NORTE</v>
          </cell>
        </row>
        <row r="465">
          <cell r="B465" t="str">
            <v>MN-94</v>
          </cell>
          <cell r="C465">
            <v>1611.3</v>
          </cell>
          <cell r="D465">
            <v>1619.68</v>
          </cell>
          <cell r="E465">
            <v>1611.3</v>
          </cell>
          <cell r="F465">
            <v>44</v>
          </cell>
          <cell r="G465">
            <v>0.97299999999999998</v>
          </cell>
          <cell r="H465">
            <v>0.97199999999999998</v>
          </cell>
          <cell r="I465">
            <v>0.97299999999999998</v>
          </cell>
          <cell r="J465" t="str">
            <v>K2A</v>
          </cell>
          <cell r="K465" t="str">
            <v>CRAVO NORTE</v>
          </cell>
          <cell r="L465" t="str">
            <v>CRAVO NORTE</v>
          </cell>
          <cell r="M465" t="str">
            <v>CRAVO NORTE</v>
          </cell>
        </row>
        <row r="466">
          <cell r="B466" t="str">
            <v>MN-95</v>
          </cell>
          <cell r="C466">
            <v>1912.99</v>
          </cell>
          <cell r="D466">
            <v>1957.46</v>
          </cell>
          <cell r="E466">
            <v>1912.99</v>
          </cell>
          <cell r="F466">
            <v>90</v>
          </cell>
          <cell r="G466">
            <v>0.95299999999999996</v>
          </cell>
          <cell r="H466">
            <v>0.95150000000000001</v>
          </cell>
          <cell r="I466">
            <v>0.95299999999999996</v>
          </cell>
          <cell r="J466" t="str">
            <v>M3B</v>
          </cell>
          <cell r="K466" t="str">
            <v>CRAVO NORTE</v>
          </cell>
          <cell r="L466" t="str">
            <v>CRAVO NORTE</v>
          </cell>
          <cell r="M466" t="str">
            <v>CRAVO NORTE</v>
          </cell>
        </row>
        <row r="467">
          <cell r="B467" t="str">
            <v>MN-96</v>
          </cell>
          <cell r="C467">
            <v>45.01</v>
          </cell>
          <cell r="D467">
            <v>55</v>
          </cell>
          <cell r="E467">
            <v>45.01</v>
          </cell>
          <cell r="F467">
            <v>28</v>
          </cell>
          <cell r="G467">
            <v>0.38700000000000001</v>
          </cell>
          <cell r="H467">
            <v>0.313</v>
          </cell>
          <cell r="I467">
            <v>0.38700000000000001</v>
          </cell>
          <cell r="J467" t="str">
            <v>K1C1_ower</v>
          </cell>
          <cell r="K467" t="str">
            <v>CRAVO NORTE</v>
          </cell>
          <cell r="L467" t="str">
            <v>CRAVO NORTE</v>
          </cell>
          <cell r="M467" t="str">
            <v>CRAVO NORTE</v>
          </cell>
        </row>
        <row r="468">
          <cell r="B468" t="str">
            <v>MN-97</v>
          </cell>
          <cell r="C468">
            <v>1924.83</v>
          </cell>
          <cell r="D468">
            <v>1981.61</v>
          </cell>
          <cell r="E468">
            <v>1924.83</v>
          </cell>
          <cell r="F468">
            <v>35</v>
          </cell>
          <cell r="G468">
            <v>0.98199999999999998</v>
          </cell>
          <cell r="H468">
            <v>0.98199999999999998</v>
          </cell>
          <cell r="I468">
            <v>0.98199999999999998</v>
          </cell>
          <cell r="J468" t="str">
            <v>K2A</v>
          </cell>
          <cell r="K468" t="str">
            <v>CRAVO NORTE</v>
          </cell>
          <cell r="L468" t="str">
            <v>CRAVO NORTE</v>
          </cell>
          <cell r="M468" t="str">
            <v>CRAVO NORTE</v>
          </cell>
        </row>
        <row r="469">
          <cell r="B469" t="str">
            <v>MN-98</v>
          </cell>
          <cell r="C469">
            <v>2890.42</v>
          </cell>
          <cell r="D469">
            <v>3013.54</v>
          </cell>
          <cell r="E469">
            <v>2890.42</v>
          </cell>
          <cell r="F469">
            <v>12</v>
          </cell>
          <cell r="G469">
            <v>0.99580000000000002</v>
          </cell>
          <cell r="H469">
            <v>0.99590000000000001</v>
          </cell>
          <cell r="I469">
            <v>0.99580000000000002</v>
          </cell>
          <cell r="J469" t="str">
            <v>M1A2</v>
          </cell>
          <cell r="K469" t="str">
            <v>CRAVO NORTE</v>
          </cell>
          <cell r="L469" t="str">
            <v>CRAVO NORTE</v>
          </cell>
          <cell r="M469" t="str">
            <v>CRAVO NORTE</v>
          </cell>
        </row>
        <row r="470">
          <cell r="B470" t="str">
            <v>MN-99</v>
          </cell>
          <cell r="C470">
            <v>2785.68</v>
          </cell>
          <cell r="D470">
            <v>2990</v>
          </cell>
          <cell r="E470">
            <v>2785.68</v>
          </cell>
          <cell r="F470">
            <v>17</v>
          </cell>
          <cell r="G470">
            <v>0.99400000000000011</v>
          </cell>
          <cell r="H470">
            <v>0.99400000000000011</v>
          </cell>
          <cell r="I470">
            <v>0.99400000000000011</v>
          </cell>
          <cell r="J470" t="str">
            <v>CRET</v>
          </cell>
          <cell r="K470" t="str">
            <v>CRAVO NORTE</v>
          </cell>
          <cell r="L470" t="str">
            <v>CRAVO NORTE</v>
          </cell>
          <cell r="M470" t="str">
            <v>CRAVO NORTE</v>
          </cell>
        </row>
        <row r="471">
          <cell r="B471" t="str">
            <v>MOY-04</v>
          </cell>
          <cell r="C471">
            <v>1366</v>
          </cell>
          <cell r="D471">
            <v>1152</v>
          </cell>
          <cell r="E471">
            <v>1366</v>
          </cell>
          <cell r="F471">
            <v>246</v>
          </cell>
          <cell r="G471">
            <v>0.82</v>
          </cell>
          <cell r="H471">
            <v>0.76</v>
          </cell>
          <cell r="I471">
            <v>0.82</v>
          </cell>
          <cell r="J471" t="str">
            <v>N/A</v>
          </cell>
          <cell r="K471" t="str">
            <v>COSECHA</v>
          </cell>
          <cell r="L471" t="str">
            <v>COSECHA</v>
          </cell>
          <cell r="M471" t="str">
            <v>COSECHA</v>
          </cell>
        </row>
        <row r="472">
          <cell r="B472" t="str">
            <v>MOY-05</v>
          </cell>
          <cell r="C472">
            <v>5145</v>
          </cell>
          <cell r="D472">
            <v>5156</v>
          </cell>
          <cell r="E472">
            <v>5145</v>
          </cell>
          <cell r="F472">
            <v>103</v>
          </cell>
          <cell r="G472">
            <v>0.98</v>
          </cell>
          <cell r="H472">
            <v>0.98</v>
          </cell>
          <cell r="I472">
            <v>0.98</v>
          </cell>
          <cell r="J472" t="str">
            <v>N/A</v>
          </cell>
          <cell r="K472" t="str">
            <v>COSECHA</v>
          </cell>
          <cell r="L472" t="str">
            <v>COSECHA</v>
          </cell>
          <cell r="M472" t="str">
            <v>COSECHA</v>
          </cell>
        </row>
        <row r="473">
          <cell r="B473" t="str">
            <v>RD E-01</v>
          </cell>
          <cell r="C473">
            <v>9118.7199999999993</v>
          </cell>
          <cell r="D473">
            <v>9118.7199999999993</v>
          </cell>
          <cell r="E473">
            <v>0</v>
          </cell>
          <cell r="F473">
            <v>54</v>
          </cell>
          <cell r="G473">
            <v>0.99409999999999998</v>
          </cell>
          <cell r="H473">
            <v>0.99409999999999998</v>
          </cell>
          <cell r="I473">
            <v>0</v>
          </cell>
          <cell r="J473" t="str">
            <v>C5c</v>
          </cell>
          <cell r="K473" t="str">
            <v>CRAVO NORTE</v>
          </cell>
          <cell r="L473" t="str">
            <v>CRAVO NORTE</v>
          </cell>
          <cell r="M473">
            <v>0</v>
          </cell>
        </row>
        <row r="474">
          <cell r="B474" t="str">
            <v>RD-01</v>
          </cell>
          <cell r="C474">
            <v>3340.54</v>
          </cell>
          <cell r="D474">
            <v>3475.79</v>
          </cell>
          <cell r="E474">
            <v>3340.54</v>
          </cell>
          <cell r="F474">
            <v>57</v>
          </cell>
          <cell r="G474">
            <v>0.98299999999999998</v>
          </cell>
          <cell r="H474">
            <v>0.98199999999999998</v>
          </cell>
          <cell r="I474">
            <v>0.98299999999999998</v>
          </cell>
          <cell r="J474" t="str">
            <v>N/A</v>
          </cell>
          <cell r="K474" t="str">
            <v>CRAVO NORTE</v>
          </cell>
          <cell r="L474" t="str">
            <v>CRAVO NORTE</v>
          </cell>
          <cell r="M474" t="str">
            <v>CRAVO NORTE</v>
          </cell>
        </row>
        <row r="475">
          <cell r="B475" t="str">
            <v>RD-03</v>
          </cell>
          <cell r="C475">
            <v>4323.74</v>
          </cell>
          <cell r="D475">
            <v>3970.4</v>
          </cell>
          <cell r="E475">
            <v>4323.74</v>
          </cell>
          <cell r="F475">
            <v>156</v>
          </cell>
          <cell r="G475">
            <v>0.96400000000000008</v>
          </cell>
          <cell r="H475">
            <v>0.95599999999999996</v>
          </cell>
          <cell r="I475">
            <v>0.96400000000000008</v>
          </cell>
          <cell r="J475" t="str">
            <v>M1A1-M1A2</v>
          </cell>
          <cell r="K475" t="str">
            <v>CRAVO NORTE</v>
          </cell>
          <cell r="L475" t="str">
            <v>CRAVO NORTE</v>
          </cell>
          <cell r="M475" t="str">
            <v>CRAVO NORTE</v>
          </cell>
        </row>
        <row r="476">
          <cell r="B476" t="str">
            <v>RD-05</v>
          </cell>
          <cell r="C476">
            <v>315</v>
          </cell>
          <cell r="D476">
            <v>482.85</v>
          </cell>
          <cell r="E476">
            <v>315</v>
          </cell>
          <cell r="F476">
            <v>131</v>
          </cell>
          <cell r="G476">
            <v>0.58499999999999996</v>
          </cell>
          <cell r="H476">
            <v>0.83</v>
          </cell>
          <cell r="I476">
            <v>0.58499999999999996</v>
          </cell>
          <cell r="J476" t="str">
            <v>N/A</v>
          </cell>
          <cell r="K476" t="str">
            <v>CRAVO NORTE</v>
          </cell>
          <cell r="L476" t="str">
            <v>CRAVO NORTE</v>
          </cell>
          <cell r="M476" t="str">
            <v>CRAVO NORTE</v>
          </cell>
        </row>
        <row r="477">
          <cell r="B477" t="str">
            <v>RD-08</v>
          </cell>
          <cell r="C477">
            <v>1060</v>
          </cell>
          <cell r="D477">
            <v>955.17</v>
          </cell>
          <cell r="E477">
            <v>1060</v>
          </cell>
          <cell r="F477">
            <v>55</v>
          </cell>
          <cell r="G477">
            <v>0.94799999999999995</v>
          </cell>
          <cell r="H477">
            <v>0.94799999999999995</v>
          </cell>
          <cell r="I477">
            <v>0.94799999999999995</v>
          </cell>
          <cell r="J477" t="str">
            <v>M2A1-M2A</v>
          </cell>
          <cell r="K477" t="str">
            <v>CRAVO NORTE</v>
          </cell>
          <cell r="L477" t="str">
            <v>CRAVO NORTE</v>
          </cell>
          <cell r="M477" t="str">
            <v>CRAVO NORTE</v>
          </cell>
        </row>
        <row r="478">
          <cell r="B478" t="str">
            <v>RD-10</v>
          </cell>
          <cell r="C478">
            <v>3082.47</v>
          </cell>
          <cell r="D478">
            <v>3254.67</v>
          </cell>
          <cell r="E478">
            <v>3082.47</v>
          </cell>
          <cell r="F478">
            <v>43</v>
          </cell>
          <cell r="G478">
            <v>0.98599999999999999</v>
          </cell>
          <cell r="H478">
            <v>0.98599999999999999</v>
          </cell>
          <cell r="I478">
            <v>0.98599999999999999</v>
          </cell>
          <cell r="J478" t="str">
            <v>N/A</v>
          </cell>
          <cell r="K478" t="str">
            <v>CRAVO NORTE</v>
          </cell>
          <cell r="L478" t="str">
            <v>CRAVO NORTE</v>
          </cell>
          <cell r="M478" t="str">
            <v>CRAVO NORTE</v>
          </cell>
        </row>
        <row r="479">
          <cell r="B479" t="str">
            <v>RD-11</v>
          </cell>
          <cell r="C479">
            <v>7022.26</v>
          </cell>
          <cell r="D479">
            <v>6852.55</v>
          </cell>
          <cell r="E479">
            <v>7022.26</v>
          </cell>
          <cell r="F479">
            <v>17</v>
          </cell>
          <cell r="G479">
            <v>0.99760000000000004</v>
          </cell>
          <cell r="H479">
            <v>0.99670000000000003</v>
          </cell>
          <cell r="I479">
            <v>0.99760000000000004</v>
          </cell>
          <cell r="J479" t="str">
            <v>N/A</v>
          </cell>
          <cell r="K479" t="str">
            <v>CRAVO NORTE</v>
          </cell>
          <cell r="L479" t="str">
            <v>CRAVO NORTE</v>
          </cell>
          <cell r="M479" t="str">
            <v>CRAVO NORTE</v>
          </cell>
        </row>
        <row r="480">
          <cell r="B480" t="str">
            <v>RD-11</v>
          </cell>
          <cell r="C480">
            <v>7022.26</v>
          </cell>
          <cell r="D480">
            <v>6852.55</v>
          </cell>
          <cell r="E480">
            <v>7022.26</v>
          </cell>
          <cell r="F480">
            <v>667</v>
          </cell>
          <cell r="G480">
            <v>0.90500000000000003</v>
          </cell>
          <cell r="H480">
            <v>0.90500000000000003</v>
          </cell>
          <cell r="I480">
            <v>0.99760000000000004</v>
          </cell>
          <cell r="J480" t="str">
            <v>N/A</v>
          </cell>
          <cell r="K480" t="str">
            <v>CRAVO NORTE</v>
          </cell>
          <cell r="L480" t="str">
            <v>CRAVO NORTE</v>
          </cell>
          <cell r="M480" t="str">
            <v>CRAVO NORTE</v>
          </cell>
        </row>
        <row r="481">
          <cell r="B481" t="str">
            <v>RD-14</v>
          </cell>
          <cell r="C481">
            <v>3365.76</v>
          </cell>
          <cell r="D481">
            <v>2659.79</v>
          </cell>
          <cell r="E481">
            <v>3365.76</v>
          </cell>
          <cell r="F481">
            <v>44</v>
          </cell>
          <cell r="G481">
            <v>0.98699999999999999</v>
          </cell>
          <cell r="H481">
            <v>0.98199999999999998</v>
          </cell>
          <cell r="I481">
            <v>0.98699999999999999</v>
          </cell>
          <cell r="J481" t="str">
            <v>M1A1-M1A2</v>
          </cell>
          <cell r="K481" t="str">
            <v>CRAVO NORTE</v>
          </cell>
          <cell r="L481" t="str">
            <v>CRAVO NORTE</v>
          </cell>
          <cell r="M481" t="str">
            <v>CRAVO NORTE</v>
          </cell>
        </row>
        <row r="482">
          <cell r="B482" t="str">
            <v>RD-16</v>
          </cell>
          <cell r="C482">
            <v>3713.08</v>
          </cell>
          <cell r="D482">
            <v>18541.419999999998</v>
          </cell>
          <cell r="E482">
            <v>3713.08</v>
          </cell>
          <cell r="F482">
            <v>81</v>
          </cell>
          <cell r="G482">
            <v>0.97829999999999995</v>
          </cell>
          <cell r="H482">
            <v>0.998</v>
          </cell>
          <cell r="I482">
            <v>0.97829999999999995</v>
          </cell>
          <cell r="J482" t="str">
            <v>M1A2</v>
          </cell>
          <cell r="K482" t="str">
            <v>CRAVO NORTE</v>
          </cell>
          <cell r="L482" t="str">
            <v>CRAVO NORTE</v>
          </cell>
          <cell r="M482" t="str">
            <v>CRAVO NORTE</v>
          </cell>
        </row>
        <row r="483">
          <cell r="B483" t="str">
            <v>REX NE-01ST2</v>
          </cell>
          <cell r="C483">
            <v>7630</v>
          </cell>
          <cell r="D483">
            <v>7777</v>
          </cell>
          <cell r="E483">
            <v>7630</v>
          </cell>
          <cell r="F483">
            <v>877</v>
          </cell>
          <cell r="G483">
            <v>0.88500000000000001</v>
          </cell>
          <cell r="H483">
            <v>0.88500000000000001</v>
          </cell>
          <cell r="I483">
            <v>0.88500000000000001</v>
          </cell>
          <cell r="J483" t="str">
            <v>M1A</v>
          </cell>
          <cell r="K483" t="str">
            <v>COSECHA</v>
          </cell>
          <cell r="L483" t="str">
            <v>COSECHA</v>
          </cell>
          <cell r="M483" t="str">
            <v>COSECHA</v>
          </cell>
        </row>
        <row r="484">
          <cell r="B484" t="str">
            <v>REX NE-02ST</v>
          </cell>
          <cell r="C484">
            <v>8301</v>
          </cell>
          <cell r="D484">
            <v>7780</v>
          </cell>
          <cell r="E484">
            <v>8301</v>
          </cell>
          <cell r="F484">
            <v>3984</v>
          </cell>
          <cell r="G484">
            <v>0.52</v>
          </cell>
          <cell r="H484">
            <v>0.47499999999999998</v>
          </cell>
          <cell r="I484">
            <v>0.52</v>
          </cell>
          <cell r="J484" t="str">
            <v>M1A</v>
          </cell>
          <cell r="K484" t="str">
            <v>COSECHA</v>
          </cell>
          <cell r="L484" t="str">
            <v>COSECHA</v>
          </cell>
          <cell r="M484" t="str">
            <v>COSECHA</v>
          </cell>
        </row>
        <row r="485">
          <cell r="B485" t="str">
            <v>REX NE-03ST2</v>
          </cell>
          <cell r="C485">
            <v>4861</v>
          </cell>
          <cell r="D485">
            <v>5169</v>
          </cell>
          <cell r="E485">
            <v>4861</v>
          </cell>
          <cell r="F485">
            <v>608</v>
          </cell>
          <cell r="G485">
            <v>0.875</v>
          </cell>
          <cell r="H485">
            <v>0.86</v>
          </cell>
          <cell r="I485">
            <v>0.875</v>
          </cell>
          <cell r="J485" t="str">
            <v>M1A</v>
          </cell>
          <cell r="K485" t="str">
            <v>COSECHA</v>
          </cell>
          <cell r="L485" t="str">
            <v>COSECHA</v>
          </cell>
          <cell r="M485" t="str">
            <v>COSECHA</v>
          </cell>
        </row>
        <row r="486">
          <cell r="B486" t="str">
            <v>REX NE-04</v>
          </cell>
          <cell r="C486">
            <v>6405</v>
          </cell>
          <cell r="D486">
            <v>6205</v>
          </cell>
          <cell r="E486">
            <v>6405</v>
          </cell>
          <cell r="F486">
            <v>2370</v>
          </cell>
          <cell r="G486">
            <v>0.63</v>
          </cell>
          <cell r="H486">
            <v>0.47499999999999998</v>
          </cell>
          <cell r="I486">
            <v>0.63</v>
          </cell>
          <cell r="J486" t="str">
            <v>M1A</v>
          </cell>
          <cell r="K486" t="str">
            <v>COSECHA</v>
          </cell>
          <cell r="L486" t="str">
            <v>COSECHA</v>
          </cell>
          <cell r="M486" t="str">
            <v>COSECHA</v>
          </cell>
        </row>
        <row r="487">
          <cell r="B487" t="str">
            <v>REX NE-05ST</v>
          </cell>
          <cell r="C487">
            <v>8470</v>
          </cell>
          <cell r="D487">
            <v>8470</v>
          </cell>
          <cell r="E487">
            <v>0</v>
          </cell>
          <cell r="F487">
            <v>7962</v>
          </cell>
          <cell r="G487">
            <v>0.06</v>
          </cell>
          <cell r="H487">
            <v>0.06</v>
          </cell>
          <cell r="I487">
            <v>0</v>
          </cell>
          <cell r="J487" t="str">
            <v xml:space="preserve"> </v>
          </cell>
          <cell r="K487">
            <v>0</v>
          </cell>
          <cell r="L487">
            <v>0</v>
          </cell>
          <cell r="M487">
            <v>0</v>
          </cell>
        </row>
        <row r="488">
          <cell r="B488" t="str">
            <v>REX NE-06</v>
          </cell>
          <cell r="C488">
            <v>8080</v>
          </cell>
          <cell r="D488">
            <v>6700</v>
          </cell>
          <cell r="E488">
            <v>8080</v>
          </cell>
          <cell r="F488">
            <v>3539</v>
          </cell>
          <cell r="G488">
            <v>0.56200000000000006</v>
          </cell>
          <cell r="H488">
            <v>0.5</v>
          </cell>
          <cell r="I488">
            <v>0.56200000000000006</v>
          </cell>
          <cell r="J488" t="str">
            <v xml:space="preserve"> </v>
          </cell>
          <cell r="K488" t="str">
            <v>COSECHA</v>
          </cell>
          <cell r="L488" t="str">
            <v>COSECHA</v>
          </cell>
          <cell r="M488" t="str">
            <v>COSECHA</v>
          </cell>
        </row>
        <row r="489">
          <cell r="B489" t="str">
            <v>REX-01</v>
          </cell>
          <cell r="C489">
            <v>1000</v>
          </cell>
          <cell r="D489">
            <v>1000</v>
          </cell>
          <cell r="E489">
            <v>0</v>
          </cell>
          <cell r="F489">
            <v>15</v>
          </cell>
          <cell r="G489">
            <v>0.98499999999999999</v>
          </cell>
          <cell r="H489">
            <v>0.98499999999999999</v>
          </cell>
          <cell r="I489">
            <v>0</v>
          </cell>
          <cell r="J489" t="str">
            <v>INT_GUAFITA</v>
          </cell>
          <cell r="K489" t="str">
            <v>COSECHA</v>
          </cell>
          <cell r="L489" t="str">
            <v>COSECHA</v>
          </cell>
          <cell r="M489">
            <v>0</v>
          </cell>
        </row>
        <row r="490">
          <cell r="B490" t="str">
            <v>REX-02</v>
          </cell>
          <cell r="C490">
            <v>1990</v>
          </cell>
          <cell r="D490">
            <v>2515</v>
          </cell>
          <cell r="E490">
            <v>1990</v>
          </cell>
          <cell r="F490">
            <v>40</v>
          </cell>
          <cell r="G490">
            <v>0.98</v>
          </cell>
          <cell r="H490">
            <v>0.98299999999999998</v>
          </cell>
          <cell r="I490">
            <v>0.98</v>
          </cell>
          <cell r="J490" t="str">
            <v>K2A_Reservoir_ower</v>
          </cell>
          <cell r="K490" t="str">
            <v>COSECHA</v>
          </cell>
          <cell r="L490" t="str">
            <v>COSECHA</v>
          </cell>
          <cell r="M490" t="str">
            <v>COSECHA</v>
          </cell>
        </row>
        <row r="491">
          <cell r="B491" t="str">
            <v>REX-05</v>
          </cell>
          <cell r="C491">
            <v>1900</v>
          </cell>
          <cell r="D491">
            <v>2002</v>
          </cell>
          <cell r="E491">
            <v>1900</v>
          </cell>
          <cell r="F491">
            <v>19</v>
          </cell>
          <cell r="G491">
            <v>0.99</v>
          </cell>
          <cell r="H491">
            <v>0.97499999999999998</v>
          </cell>
          <cell r="I491">
            <v>0.99</v>
          </cell>
          <cell r="J491" t="str">
            <v>M1A1</v>
          </cell>
          <cell r="K491" t="str">
            <v>COSECHA</v>
          </cell>
          <cell r="L491" t="str">
            <v>COSECHA</v>
          </cell>
          <cell r="M491" t="str">
            <v>COSECHA</v>
          </cell>
        </row>
        <row r="492">
          <cell r="B492" t="str">
            <v>REX-06</v>
          </cell>
          <cell r="C492">
            <v>805</v>
          </cell>
          <cell r="D492">
            <v>612</v>
          </cell>
          <cell r="E492">
            <v>805</v>
          </cell>
          <cell r="F492">
            <v>543</v>
          </cell>
          <cell r="G492">
            <v>0.32500000000000001</v>
          </cell>
          <cell r="H492">
            <v>0.33500000000000002</v>
          </cell>
          <cell r="I492">
            <v>0.32500000000000001</v>
          </cell>
          <cell r="J492" t="str">
            <v xml:space="preserve"> </v>
          </cell>
          <cell r="K492" t="str">
            <v>COSECHA</v>
          </cell>
          <cell r="L492" t="str">
            <v>COSECHA</v>
          </cell>
          <cell r="M492" t="str">
            <v>COSECHA</v>
          </cell>
        </row>
        <row r="493">
          <cell r="B493" t="str">
            <v>RO B</v>
          </cell>
          <cell r="C493">
            <v>264</v>
          </cell>
          <cell r="D493">
            <v>264</v>
          </cell>
          <cell r="E493">
            <v>0</v>
          </cell>
          <cell r="F493">
            <v>2</v>
          </cell>
          <cell r="G493">
            <v>0.99299999999999999</v>
          </cell>
          <cell r="H493">
            <v>0.99299999999999999</v>
          </cell>
          <cell r="I493">
            <v>0</v>
          </cell>
          <cell r="J493" t="str">
            <v>N/A</v>
          </cell>
          <cell r="K493" t="str">
            <v>RONDON</v>
          </cell>
          <cell r="L493" t="str">
            <v>RONDON</v>
          </cell>
          <cell r="M493">
            <v>0</v>
          </cell>
        </row>
        <row r="494">
          <cell r="B494" t="str">
            <v>CO C-03ST1</v>
          </cell>
          <cell r="C494">
            <v>80</v>
          </cell>
          <cell r="D494">
            <v>80</v>
          </cell>
          <cell r="E494">
            <v>0</v>
          </cell>
          <cell r="F494">
            <v>72</v>
          </cell>
          <cell r="G494">
            <v>0.1</v>
          </cell>
          <cell r="H494">
            <v>0.1</v>
          </cell>
          <cell r="I494">
            <v>0</v>
          </cell>
          <cell r="J494" t="str">
            <v xml:space="preserve"> </v>
          </cell>
          <cell r="K494" t="str">
            <v>COSECHA</v>
          </cell>
          <cell r="L494" t="str">
            <v>COSECHA</v>
          </cell>
          <cell r="M494">
            <v>0</v>
          </cell>
        </row>
        <row r="495">
          <cell r="B495" t="str">
            <v>CO G-14</v>
          </cell>
          <cell r="C495">
            <v>2484</v>
          </cell>
          <cell r="D495">
            <v>2428</v>
          </cell>
          <cell r="E495">
            <v>2484</v>
          </cell>
          <cell r="F495">
            <v>248</v>
          </cell>
          <cell r="G495">
            <v>0.9</v>
          </cell>
          <cell r="H495">
            <v>0.89</v>
          </cell>
          <cell r="I495">
            <v>0.9</v>
          </cell>
          <cell r="J495" t="str">
            <v xml:space="preserve"> </v>
          </cell>
          <cell r="K495" t="str">
            <v>COSECHA</v>
          </cell>
          <cell r="L495" t="str">
            <v>COSECHA</v>
          </cell>
          <cell r="M495" t="str">
            <v>COSECHA</v>
          </cell>
        </row>
        <row r="496">
          <cell r="B496" t="str">
            <v>CO Y-N-02</v>
          </cell>
          <cell r="C496">
            <v>250</v>
          </cell>
          <cell r="D496">
            <v>260</v>
          </cell>
          <cell r="E496">
            <v>250</v>
          </cell>
          <cell r="F496">
            <v>75</v>
          </cell>
          <cell r="G496">
            <v>0.7</v>
          </cell>
          <cell r="H496">
            <v>0.73</v>
          </cell>
          <cell r="I496">
            <v>0.7</v>
          </cell>
          <cell r="J496" t="str">
            <v>N/A</v>
          </cell>
          <cell r="K496" t="str">
            <v>COSECHA</v>
          </cell>
          <cell r="L496" t="str">
            <v>COSECHA</v>
          </cell>
          <cell r="M496" t="str">
            <v>COSECHA</v>
          </cell>
        </row>
        <row r="497">
          <cell r="B497" t="str">
            <v>LY-260</v>
          </cell>
          <cell r="C497">
            <v>400</v>
          </cell>
          <cell r="D497">
            <v>383.86</v>
          </cell>
          <cell r="E497">
            <v>400</v>
          </cell>
          <cell r="F497">
            <v>101</v>
          </cell>
          <cell r="G497">
            <v>0.74780000000000002</v>
          </cell>
          <cell r="H497">
            <v>0.65</v>
          </cell>
          <cell r="I497">
            <v>0.74780000000000002</v>
          </cell>
          <cell r="J497" t="str">
            <v>N/A</v>
          </cell>
          <cell r="K497" t="str">
            <v>CRAVO NORTE</v>
          </cell>
          <cell r="L497" t="str">
            <v>CRAVO NORTE</v>
          </cell>
          <cell r="M497" t="str">
            <v>CRAVO NORTE</v>
          </cell>
        </row>
        <row r="498">
          <cell r="B498" t="str">
            <v>LY-305</v>
          </cell>
          <cell r="C498">
            <v>3485</v>
          </cell>
          <cell r="D498">
            <v>3600</v>
          </cell>
          <cell r="E498">
            <v>3485</v>
          </cell>
          <cell r="F498">
            <v>268</v>
          </cell>
          <cell r="G498">
            <v>0.92299999999999993</v>
          </cell>
          <cell r="H498">
            <v>0.90720000000000001</v>
          </cell>
          <cell r="I498">
            <v>0.92299999999999993</v>
          </cell>
          <cell r="J498" t="str">
            <v xml:space="preserve"> </v>
          </cell>
          <cell r="K498" t="str">
            <v>CRAVO NORTE</v>
          </cell>
          <cell r="L498" t="str">
            <v>CRAVO NORTE</v>
          </cell>
          <cell r="M498" t="str">
            <v>CRAVO NORTE</v>
          </cell>
        </row>
        <row r="499">
          <cell r="B499" t="str">
            <v>RD ESTE-01</v>
          </cell>
          <cell r="C499">
            <v>8106.16</v>
          </cell>
          <cell r="D499">
            <v>8575.64</v>
          </cell>
          <cell r="E499">
            <v>8106.16</v>
          </cell>
          <cell r="F499">
            <v>36</v>
          </cell>
          <cell r="G499">
            <v>0.99549999999999994</v>
          </cell>
          <cell r="H499">
            <v>0.99560000000000004</v>
          </cell>
          <cell r="I499">
            <v>0.99549999999999994</v>
          </cell>
          <cell r="J499" t="str">
            <v xml:space="preserve"> </v>
          </cell>
          <cell r="K499" t="str">
            <v>CRAVO NORTE</v>
          </cell>
          <cell r="L499" t="str">
            <v>CRAVO NORTE</v>
          </cell>
          <cell r="M499" t="str">
            <v>CRAVO NORTE</v>
          </cell>
        </row>
        <row r="500">
          <cell r="B500" t="str">
            <v>REX NE-05ST2</v>
          </cell>
          <cell r="C500">
            <v>8890</v>
          </cell>
          <cell r="D500">
            <v>8706</v>
          </cell>
          <cell r="E500">
            <v>8890</v>
          </cell>
          <cell r="F500">
            <v>1022</v>
          </cell>
          <cell r="G500">
            <v>0.88500000000000001</v>
          </cell>
          <cell r="H500">
            <v>0.875</v>
          </cell>
          <cell r="I500">
            <v>0.88500000000000001</v>
          </cell>
          <cell r="J500" t="str">
            <v xml:space="preserve"> </v>
          </cell>
          <cell r="K500" t="str">
            <v>COSECHA</v>
          </cell>
          <cell r="L500" t="str">
            <v>COSECHA</v>
          </cell>
          <cell r="M500" t="str">
            <v>COSECHA</v>
          </cell>
        </row>
        <row r="501">
          <cell r="B501" t="str">
            <v>CC-007</v>
          </cell>
          <cell r="C501">
            <v>8360</v>
          </cell>
          <cell r="D501">
            <v>8360</v>
          </cell>
          <cell r="E501">
            <v>8360</v>
          </cell>
          <cell r="F501">
            <v>150</v>
          </cell>
          <cell r="G501">
            <v>0.98199999999999998</v>
          </cell>
          <cell r="H501">
            <v>0.98199999999999998</v>
          </cell>
          <cell r="I501">
            <v>0.98199999999999998</v>
          </cell>
          <cell r="J501" t="str">
            <v>M2A</v>
          </cell>
          <cell r="K501" t="str">
            <v>RONDON</v>
          </cell>
          <cell r="L501" t="str">
            <v>RONDON</v>
          </cell>
          <cell r="M501" t="str">
            <v>RONDON</v>
          </cell>
        </row>
        <row r="502">
          <cell r="B502" t="str">
            <v>CR-01</v>
          </cell>
          <cell r="C502">
            <v>1912</v>
          </cell>
          <cell r="D502">
            <v>1910</v>
          </cell>
          <cell r="E502">
            <v>1912</v>
          </cell>
          <cell r="F502">
            <v>124</v>
          </cell>
          <cell r="G502">
            <v>0.93500000000000005</v>
          </cell>
          <cell r="H502">
            <v>0.93</v>
          </cell>
          <cell r="I502">
            <v>0.93500000000000005</v>
          </cell>
          <cell r="J502" t="str">
            <v>K2A1</v>
          </cell>
          <cell r="K502" t="str">
            <v>RONDON</v>
          </cell>
          <cell r="L502" t="str">
            <v>RONDON</v>
          </cell>
          <cell r="M502" t="str">
            <v>RONDON</v>
          </cell>
        </row>
        <row r="503">
          <cell r="B503" t="str">
            <v>CO C-03</v>
          </cell>
          <cell r="C503">
            <v>0</v>
          </cell>
          <cell r="D503"/>
          <cell r="E503">
            <v>0</v>
          </cell>
          <cell r="F503">
            <v>0</v>
          </cell>
          <cell r="G503">
            <v>0</v>
          </cell>
          <cell r="H503"/>
          <cell r="I503">
            <v>0</v>
          </cell>
          <cell r="J503" t="str">
            <v xml:space="preserve"> </v>
          </cell>
          <cell r="K503" t="str">
            <v>COSECHA</v>
          </cell>
          <cell r="L503" t="str">
            <v>COSECHA</v>
          </cell>
          <cell r="M503" t="str">
            <v>COSECHA</v>
          </cell>
        </row>
        <row r="504">
          <cell r="B504" t="str">
            <v>CY-26</v>
          </cell>
          <cell r="C504">
            <v>3100</v>
          </cell>
          <cell r="D504"/>
          <cell r="E504">
            <v>3100</v>
          </cell>
          <cell r="F504">
            <v>16</v>
          </cell>
          <cell r="G504">
            <v>0.995</v>
          </cell>
          <cell r="H504"/>
          <cell r="I504">
            <v>0.995</v>
          </cell>
          <cell r="J504" t="str">
            <v>N/A</v>
          </cell>
          <cell r="K504" t="str">
            <v>CRAVO NORTE</v>
          </cell>
          <cell r="M504" t="str">
            <v>CRAVO NORTE</v>
          </cell>
        </row>
        <row r="505">
          <cell r="B505" t="str">
            <v>JIB-06U</v>
          </cell>
          <cell r="C505">
            <v>5089.32</v>
          </cell>
          <cell r="D505"/>
          <cell r="E505">
            <v>5089.32</v>
          </cell>
          <cell r="F505">
            <v>51</v>
          </cell>
          <cell r="G505">
            <v>0.99</v>
          </cell>
          <cell r="H505"/>
          <cell r="I505">
            <v>0.99</v>
          </cell>
          <cell r="J505" t="str">
            <v>N/A</v>
          </cell>
          <cell r="K505" t="str">
            <v>CHIPIRON</v>
          </cell>
          <cell r="M505" t="str">
            <v>CHIPIRON</v>
          </cell>
        </row>
        <row r="506">
          <cell r="B506" t="str">
            <v>LY-148</v>
          </cell>
          <cell r="C506">
            <v>5571.74</v>
          </cell>
          <cell r="D506"/>
          <cell r="E506">
            <v>5571.74</v>
          </cell>
          <cell r="F506">
            <v>28</v>
          </cell>
          <cell r="G506">
            <v>0.995</v>
          </cell>
          <cell r="H506"/>
          <cell r="I506">
            <v>0.995</v>
          </cell>
          <cell r="J506" t="str">
            <v>N/A</v>
          </cell>
          <cell r="K506" t="str">
            <v>CRAVO NORTE</v>
          </cell>
          <cell r="M506" t="str">
            <v>CRAVO NORTE</v>
          </cell>
        </row>
        <row r="507">
          <cell r="B507" t="str">
            <v>REX NE-07</v>
          </cell>
          <cell r="C507">
            <v>4960</v>
          </cell>
          <cell r="D507"/>
          <cell r="E507">
            <v>4960</v>
          </cell>
          <cell r="F507">
            <v>3174</v>
          </cell>
          <cell r="G507">
            <v>0.36</v>
          </cell>
          <cell r="H507"/>
          <cell r="I507">
            <v>0.36</v>
          </cell>
          <cell r="J507" t="str">
            <v xml:space="preserve"> </v>
          </cell>
          <cell r="K507" t="str">
            <v>COSECHA</v>
          </cell>
          <cell r="M507" t="str">
            <v>COSECHA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4"/>
      <sheetName val="Hoja2"/>
    </sheetNames>
    <sheetDataSet>
      <sheetData sheetId="0" refreshError="1">
        <row r="3">
          <cell r="B3"/>
          <cell r="C3"/>
          <cell r="D3"/>
          <cell r="E3"/>
          <cell r="F3" t="str">
            <v>Peso de muestra solidos despues de tamizado Gr</v>
          </cell>
          <cell r="G3"/>
          <cell r="H3"/>
          <cell r="I3"/>
          <cell r="J3"/>
        </row>
        <row r="4">
          <cell r="B4" t="str">
            <v>Número pozo</v>
          </cell>
          <cell r="C4" t="str">
            <v>Sistema de levantamiento</v>
          </cell>
          <cell r="D4" t="str">
            <v>Fecha toma muestra</v>
          </cell>
          <cell r="E4" t="str">
            <v>Hora toma muestra</v>
          </cell>
          <cell r="F4" t="str">
            <v>Malla 40</v>
          </cell>
          <cell r="G4" t="str">
            <v>Malla 60</v>
          </cell>
          <cell r="H4" t="str">
            <v>Malla 70</v>
          </cell>
          <cell r="I4" t="str">
            <v>Malla 140</v>
          </cell>
          <cell r="J4" t="str">
            <v>Malla 325</v>
          </cell>
        </row>
        <row r="5">
          <cell r="B5" t="str">
            <v>CL-47</v>
          </cell>
          <cell r="C5" t="str">
            <v>ESP</v>
          </cell>
          <cell r="D5">
            <v>43889</v>
          </cell>
          <cell r="E5">
            <v>0.6972222222222223</v>
          </cell>
          <cell r="F5">
            <v>2.9999999999999997E-4</v>
          </cell>
          <cell r="G5">
            <v>1.1000000000000001E-3</v>
          </cell>
          <cell r="I5">
            <v>6.9999999999999999E-4</v>
          </cell>
        </row>
        <row r="6">
          <cell r="B6" t="str">
            <v>CL-20</v>
          </cell>
          <cell r="C6" t="str">
            <v>ESP</v>
          </cell>
          <cell r="D6">
            <v>43889</v>
          </cell>
          <cell r="E6">
            <v>0.65138888888888891</v>
          </cell>
          <cell r="F6">
            <v>8.0000000000000004E-4</v>
          </cell>
          <cell r="G6">
            <v>2.0000000000000001E-4</v>
          </cell>
          <cell r="I6">
            <v>2E-3</v>
          </cell>
        </row>
        <row r="7">
          <cell r="B7" t="str">
            <v>CL-34</v>
          </cell>
          <cell r="C7" t="str">
            <v>ESP</v>
          </cell>
          <cell r="D7">
            <v>43892</v>
          </cell>
          <cell r="E7">
            <v>0.42777777777777781</v>
          </cell>
          <cell r="F7">
            <v>3.0000000000000001E-3</v>
          </cell>
          <cell r="G7">
            <v>1.5E-3</v>
          </cell>
          <cell r="I7">
            <v>3.0000000000000001E-3</v>
          </cell>
        </row>
        <row r="8">
          <cell r="B8" t="str">
            <v>CL-46</v>
          </cell>
          <cell r="C8" t="str">
            <v>ESP</v>
          </cell>
          <cell r="D8">
            <v>43892</v>
          </cell>
          <cell r="E8">
            <v>0.40972222222222227</v>
          </cell>
          <cell r="F8">
            <v>6.6E-3</v>
          </cell>
          <cell r="G8">
            <v>2.5999999999999999E-3</v>
          </cell>
          <cell r="I8">
            <v>3.0000000000000001E-3</v>
          </cell>
        </row>
        <row r="9">
          <cell r="B9" t="str">
            <v>CL-35</v>
          </cell>
          <cell r="C9" t="str">
            <v>ESP</v>
          </cell>
          <cell r="D9">
            <v>43892</v>
          </cell>
          <cell r="E9">
            <v>0.6</v>
          </cell>
          <cell r="F9">
            <v>3.2000000000000002E-3</v>
          </cell>
          <cell r="G9">
            <v>3.8999999999999998E-3</v>
          </cell>
          <cell r="I9">
            <v>1.38E-2</v>
          </cell>
        </row>
        <row r="10">
          <cell r="B10" t="str">
            <v>CL-42</v>
          </cell>
          <cell r="C10" t="str">
            <v>ESP</v>
          </cell>
          <cell r="D10">
            <v>43892</v>
          </cell>
          <cell r="E10">
            <v>0.62222222222222223</v>
          </cell>
          <cell r="F10">
            <v>3.0999999999999999E-3</v>
          </cell>
          <cell r="G10">
            <v>4.4000000000000003E-3</v>
          </cell>
          <cell r="I10">
            <v>1.6400000000000001E-2</v>
          </cell>
        </row>
        <row r="11">
          <cell r="B11" t="str">
            <v>CL-21</v>
          </cell>
          <cell r="C11" t="str">
            <v>ESP</v>
          </cell>
          <cell r="D11">
            <v>43893</v>
          </cell>
          <cell r="E11">
            <v>0.66041666666666665</v>
          </cell>
          <cell r="F11">
            <v>6.7000000000000002E-3</v>
          </cell>
          <cell r="G11">
            <v>7.7999999999999996E-3</v>
          </cell>
          <cell r="I11">
            <v>2.9499999999999998E-2</v>
          </cell>
        </row>
        <row r="12">
          <cell r="B12" t="str">
            <v>CL-06</v>
          </cell>
          <cell r="C12" t="str">
            <v>ESP</v>
          </cell>
          <cell r="D12">
            <v>43893</v>
          </cell>
          <cell r="E12">
            <v>0.67291666666666661</v>
          </cell>
          <cell r="F12">
            <v>5.9999999999999995E-4</v>
          </cell>
          <cell r="G12">
            <v>5.7999999999999996E-3</v>
          </cell>
          <cell r="I12">
            <v>1.35E-2</v>
          </cell>
        </row>
        <row r="13">
          <cell r="B13" t="str">
            <v>CL-11</v>
          </cell>
          <cell r="C13" t="str">
            <v>ESP</v>
          </cell>
          <cell r="D13">
            <v>43925</v>
          </cell>
          <cell r="E13">
            <v>0.37847222222222227</v>
          </cell>
          <cell r="F13">
            <v>1.8E-3</v>
          </cell>
          <cell r="G13">
            <v>3.6499999999999998E-2</v>
          </cell>
          <cell r="I13">
            <v>1.38E-2</v>
          </cell>
        </row>
        <row r="14">
          <cell r="B14" t="str">
            <v>CL-40</v>
          </cell>
          <cell r="C14" t="str">
            <v>ESP</v>
          </cell>
          <cell r="D14">
            <v>43925</v>
          </cell>
          <cell r="E14">
            <v>0.3923611111111111</v>
          </cell>
          <cell r="F14">
            <v>9.2600000000000002E-2</v>
          </cell>
          <cell r="G14">
            <v>3.3500000000000002E-2</v>
          </cell>
          <cell r="I14">
            <v>7.3099999999999998E-2</v>
          </cell>
        </row>
        <row r="15">
          <cell r="B15" t="str">
            <v>CL-48</v>
          </cell>
          <cell r="C15" t="str">
            <v>ESP</v>
          </cell>
          <cell r="D15">
            <v>43925</v>
          </cell>
          <cell r="E15">
            <v>0.57847222222222217</v>
          </cell>
          <cell r="F15">
            <v>3.3999999999999998E-3</v>
          </cell>
          <cell r="G15">
            <v>5.0000000000000001E-3</v>
          </cell>
          <cell r="I15">
            <v>3.5999999999999999E-3</v>
          </cell>
        </row>
        <row r="16">
          <cell r="B16" t="str">
            <v>MN-73</v>
          </cell>
          <cell r="C16" t="str">
            <v>ESP</v>
          </cell>
          <cell r="D16">
            <v>43925</v>
          </cell>
          <cell r="E16">
            <v>0.61388888888888882</v>
          </cell>
          <cell r="F16">
            <v>3.0000000000000001E-3</v>
          </cell>
          <cell r="G16">
            <v>3.3E-3</v>
          </cell>
          <cell r="I16">
            <v>6.6E-3</v>
          </cell>
        </row>
        <row r="17">
          <cell r="B17" t="str">
            <v>MN-56</v>
          </cell>
          <cell r="C17" t="str">
            <v>ESP</v>
          </cell>
          <cell r="D17">
            <v>43895</v>
          </cell>
          <cell r="E17">
            <v>0.38263888888888892</v>
          </cell>
          <cell r="F17">
            <v>1.04E-2</v>
          </cell>
          <cell r="G17">
            <v>2.5999999999999999E-3</v>
          </cell>
          <cell r="I17">
            <v>6.4000000000000003E-3</v>
          </cell>
        </row>
        <row r="18">
          <cell r="B18" t="str">
            <v>MN-83</v>
          </cell>
          <cell r="C18" t="str">
            <v>ESP</v>
          </cell>
          <cell r="D18">
            <v>43895</v>
          </cell>
          <cell r="E18">
            <v>0.37361111111111112</v>
          </cell>
          <cell r="F18">
            <v>2.5000000000000001E-3</v>
          </cell>
          <cell r="G18">
            <v>4.3E-3</v>
          </cell>
          <cell r="I18">
            <v>1.44E-2</v>
          </cell>
        </row>
        <row r="19">
          <cell r="B19" t="str">
            <v>MN-55</v>
          </cell>
          <cell r="C19" t="str">
            <v>ESP</v>
          </cell>
          <cell r="D19">
            <v>43895</v>
          </cell>
          <cell r="E19">
            <v>0.55833333333333335</v>
          </cell>
          <cell r="F19">
            <v>2.2000000000000001E-3</v>
          </cell>
          <cell r="G19">
            <v>2.0999999999999999E-3</v>
          </cell>
          <cell r="I19">
            <v>1.8E-3</v>
          </cell>
        </row>
        <row r="20">
          <cell r="B20" t="str">
            <v>MN-86</v>
          </cell>
          <cell r="C20" t="str">
            <v>ESP</v>
          </cell>
          <cell r="D20">
            <v>43895</v>
          </cell>
          <cell r="E20">
            <v>0.57500000000000007</v>
          </cell>
          <cell r="F20">
            <v>4.7000000000000002E-3</v>
          </cell>
          <cell r="G20">
            <v>4.3E-3</v>
          </cell>
          <cell r="I20">
            <v>4.4000000000000003E-3</v>
          </cell>
        </row>
        <row r="21">
          <cell r="B21" t="str">
            <v>MN-99</v>
          </cell>
          <cell r="C21" t="str">
            <v>ESP</v>
          </cell>
          <cell r="D21">
            <v>43896</v>
          </cell>
          <cell r="E21">
            <v>0.38194444444444442</v>
          </cell>
          <cell r="F21">
            <v>4.4999999999999997E-3</v>
          </cell>
          <cell r="G21">
            <v>7.7000000000000002E-3</v>
          </cell>
          <cell r="I21">
            <v>1.49E-2</v>
          </cell>
        </row>
        <row r="22">
          <cell r="B22" t="str">
            <v>CL-51</v>
          </cell>
          <cell r="C22" t="str">
            <v>ESP</v>
          </cell>
          <cell r="D22">
            <v>43896</v>
          </cell>
          <cell r="E22">
            <v>0.3923611111111111</v>
          </cell>
          <cell r="F22">
            <v>3.5000000000000001E-3</v>
          </cell>
          <cell r="G22">
            <v>3.8999999999999998E-3</v>
          </cell>
          <cell r="I22">
            <v>3.3999999999999998E-3</v>
          </cell>
        </row>
        <row r="23">
          <cell r="B23" t="str">
            <v>MN-70</v>
          </cell>
          <cell r="C23" t="str">
            <v>BM</v>
          </cell>
          <cell r="D23">
            <v>43896</v>
          </cell>
          <cell r="E23">
            <v>0.58124999999999993</v>
          </cell>
          <cell r="F23">
            <v>4.7000000000000002E-3</v>
          </cell>
          <cell r="G23">
            <v>6.7000000000000002E-3</v>
          </cell>
          <cell r="I23">
            <v>5.1000000000000004E-3</v>
          </cell>
        </row>
        <row r="24">
          <cell r="B24" t="str">
            <v>MN-93</v>
          </cell>
          <cell r="C24" t="str">
            <v>ESP</v>
          </cell>
          <cell r="D24">
            <v>43896</v>
          </cell>
          <cell r="E24">
            <v>0.60277777777777775</v>
          </cell>
          <cell r="F24">
            <v>9.4999999999999998E-3</v>
          </cell>
          <cell r="G24">
            <v>2.5999999999999999E-3</v>
          </cell>
          <cell r="I24">
            <v>3.3399999999999999E-2</v>
          </cell>
        </row>
        <row r="25">
          <cell r="B25" t="str">
            <v>MN-58</v>
          </cell>
          <cell r="C25" t="str">
            <v>ESP</v>
          </cell>
          <cell r="D25">
            <v>43899</v>
          </cell>
          <cell r="E25">
            <v>0.3888888888888889</v>
          </cell>
          <cell r="F25">
            <v>8.0000000000000004E-4</v>
          </cell>
          <cell r="G25">
            <v>1E-3</v>
          </cell>
          <cell r="I25">
            <v>1.8700000000000001E-2</v>
          </cell>
        </row>
        <row r="26">
          <cell r="B26" t="str">
            <v>MN-74</v>
          </cell>
          <cell r="C26" t="str">
            <v>ESP</v>
          </cell>
          <cell r="D26">
            <v>43899</v>
          </cell>
          <cell r="E26">
            <v>0.39374999999999999</v>
          </cell>
          <cell r="F26">
            <v>1.1999999999999999E-3</v>
          </cell>
          <cell r="G26">
            <v>8.0000000000000004E-4</v>
          </cell>
          <cell r="I26">
            <v>1.6299999999999999E-2</v>
          </cell>
        </row>
        <row r="27">
          <cell r="B27" t="str">
            <v>MN-29</v>
          </cell>
          <cell r="C27" t="str">
            <v>ESP</v>
          </cell>
          <cell r="D27">
            <v>43899</v>
          </cell>
          <cell r="E27">
            <v>0.59027777777777779</v>
          </cell>
          <cell r="F27">
            <v>1.6000000000000001E-3</v>
          </cell>
          <cell r="G27">
            <v>1E-3</v>
          </cell>
          <cell r="I27">
            <v>5.8999999999999999E-3</v>
          </cell>
        </row>
        <row r="28">
          <cell r="B28" t="str">
            <v>LY-104</v>
          </cell>
          <cell r="C28" t="str">
            <v>ESP</v>
          </cell>
          <cell r="D28">
            <v>43899</v>
          </cell>
          <cell r="E28">
            <v>0.60416666666666663</v>
          </cell>
          <cell r="F28">
            <v>3.3999999999999998E-3</v>
          </cell>
          <cell r="G28">
            <v>8.9999999999999998E-4</v>
          </cell>
          <cell r="I28">
            <v>2.5600000000000001E-2</v>
          </cell>
        </row>
        <row r="29">
          <cell r="B29" t="str">
            <v>LY-226</v>
          </cell>
          <cell r="C29" t="str">
            <v>ESP</v>
          </cell>
          <cell r="D29">
            <v>43900</v>
          </cell>
          <cell r="E29">
            <v>0.40277777777777773</v>
          </cell>
          <cell r="F29">
            <v>8.0000000000000002E-3</v>
          </cell>
          <cell r="G29">
            <v>1.2999999999999999E-3</v>
          </cell>
          <cell r="I29">
            <v>3.3999999999999998E-3</v>
          </cell>
        </row>
        <row r="30">
          <cell r="B30" t="str">
            <v>LY-040</v>
          </cell>
          <cell r="C30" t="str">
            <v>ESP</v>
          </cell>
          <cell r="D30">
            <v>43900</v>
          </cell>
          <cell r="E30">
            <v>0.4145833333333333</v>
          </cell>
          <cell r="F30">
            <v>8.0000000000000004E-4</v>
          </cell>
          <cell r="G30">
            <v>2.3999999999999998E-3</v>
          </cell>
          <cell r="I30">
            <v>1.77E-2</v>
          </cell>
        </row>
        <row r="31">
          <cell r="B31" t="str">
            <v>MN-50</v>
          </cell>
          <cell r="C31" t="str">
            <v>ESP</v>
          </cell>
          <cell r="D31">
            <v>43900</v>
          </cell>
          <cell r="E31">
            <v>0.59583333333333333</v>
          </cell>
          <cell r="F31">
            <v>2.3999999999999998E-3</v>
          </cell>
          <cell r="G31">
            <v>5.0000000000000001E-3</v>
          </cell>
          <cell r="I31">
            <v>1.5100000000000001E-2</v>
          </cell>
        </row>
        <row r="32">
          <cell r="B32" t="str">
            <v>MN-25</v>
          </cell>
          <cell r="C32" t="str">
            <v>ESP</v>
          </cell>
          <cell r="D32">
            <v>43901</v>
          </cell>
          <cell r="E32">
            <v>0.38541666666666669</v>
          </cell>
          <cell r="F32">
            <v>1.1999999999999999E-3</v>
          </cell>
          <cell r="G32">
            <v>2.8999999999999998E-3</v>
          </cell>
          <cell r="I32">
            <v>6.6E-3</v>
          </cell>
        </row>
        <row r="33">
          <cell r="B33" t="str">
            <v>MN-17</v>
          </cell>
          <cell r="C33" t="str">
            <v>ESP</v>
          </cell>
          <cell r="D33">
            <v>43901</v>
          </cell>
          <cell r="E33">
            <v>0.4597222222222222</v>
          </cell>
          <cell r="F33">
            <v>4.3E-3</v>
          </cell>
          <cell r="G33">
            <v>5.9999999999999995E-4</v>
          </cell>
          <cell r="I33">
            <v>1.04E-2</v>
          </cell>
        </row>
        <row r="34">
          <cell r="B34" t="str">
            <v>LY-274</v>
          </cell>
          <cell r="C34" t="str">
            <v>BM</v>
          </cell>
          <cell r="D34">
            <v>43901</v>
          </cell>
          <cell r="E34">
            <v>0.59652777777777777</v>
          </cell>
          <cell r="F34">
            <v>5.0000000000000001E-4</v>
          </cell>
          <cell r="G34">
            <v>6.9999999999999999E-4</v>
          </cell>
          <cell r="I34">
            <v>8.0999999999999996E-3</v>
          </cell>
        </row>
        <row r="35">
          <cell r="B35" t="str">
            <v>LY-062</v>
          </cell>
          <cell r="C35" t="str">
            <v>ESP</v>
          </cell>
          <cell r="D35">
            <v>43901</v>
          </cell>
          <cell r="E35">
            <v>0.64027777777777783</v>
          </cell>
          <cell r="F35">
            <v>1.0999999999999999E-2</v>
          </cell>
          <cell r="G35">
            <v>5.1000000000000004E-3</v>
          </cell>
          <cell r="I35">
            <v>5.7000000000000002E-3</v>
          </cell>
        </row>
        <row r="36">
          <cell r="B36" t="str">
            <v>MN-21</v>
          </cell>
          <cell r="C36" t="str">
            <v>ESP</v>
          </cell>
          <cell r="D36">
            <v>43902</v>
          </cell>
          <cell r="E36">
            <v>0.40486111111111112</v>
          </cell>
          <cell r="F36">
            <v>8.9999999999999993E-3</v>
          </cell>
          <cell r="G36">
            <v>7.7999999999999996E-3</v>
          </cell>
          <cell r="I36">
            <v>2.24E-2</v>
          </cell>
        </row>
        <row r="37">
          <cell r="B37" t="str">
            <v>MN-75</v>
          </cell>
          <cell r="C37" t="str">
            <v>ESP</v>
          </cell>
          <cell r="D37">
            <v>43902</v>
          </cell>
          <cell r="E37">
            <v>0.41666666666666669</v>
          </cell>
          <cell r="F37">
            <v>1.4E-3</v>
          </cell>
          <cell r="G37">
            <v>1.6000000000000001E-3</v>
          </cell>
          <cell r="I37">
            <v>2.2800000000000001E-2</v>
          </cell>
        </row>
        <row r="38">
          <cell r="B38" t="str">
            <v>MN-80</v>
          </cell>
          <cell r="C38" t="str">
            <v>ESP</v>
          </cell>
          <cell r="D38">
            <v>43902</v>
          </cell>
          <cell r="E38">
            <v>0.58888888888888891</v>
          </cell>
          <cell r="F38">
            <v>1.2999999999999999E-3</v>
          </cell>
          <cell r="G38">
            <v>3.0999999999999999E-3</v>
          </cell>
          <cell r="I38">
            <v>2.3199999999999998E-2</v>
          </cell>
        </row>
        <row r="39">
          <cell r="B39" t="str">
            <v>MN-37</v>
          </cell>
          <cell r="C39" t="str">
            <v>ESP</v>
          </cell>
          <cell r="D39">
            <v>43902</v>
          </cell>
          <cell r="E39">
            <v>0.59513888888888888</v>
          </cell>
          <cell r="F39">
            <v>2.5000000000000001E-3</v>
          </cell>
          <cell r="G39">
            <v>5.8999999999999999E-3</v>
          </cell>
          <cell r="I39">
            <v>3.2000000000000002E-3</v>
          </cell>
        </row>
        <row r="40">
          <cell r="B40" t="str">
            <v>MN-14</v>
          </cell>
          <cell r="C40" t="str">
            <v>ESP</v>
          </cell>
          <cell r="D40">
            <v>43903</v>
          </cell>
          <cell r="E40">
            <v>0.38055555555555554</v>
          </cell>
          <cell r="F40">
            <v>2.64E-2</v>
          </cell>
          <cell r="G40">
            <v>3.7900000000000003E-2</v>
          </cell>
          <cell r="I40">
            <v>7.3300000000000004E-2</v>
          </cell>
        </row>
        <row r="41">
          <cell r="B41" t="str">
            <v>MN-41</v>
          </cell>
          <cell r="C41" t="str">
            <v>ESP</v>
          </cell>
          <cell r="D41">
            <v>43903</v>
          </cell>
          <cell r="E41">
            <v>0.39166666666666666</v>
          </cell>
          <cell r="F41">
            <v>0.01</v>
          </cell>
          <cell r="G41">
            <v>7.4000000000000003E-3</v>
          </cell>
          <cell r="I41">
            <v>3.8899999999999997E-2</v>
          </cell>
        </row>
        <row r="42">
          <cell r="B42" t="str">
            <v>CY-40</v>
          </cell>
          <cell r="C42" t="str">
            <v>ESP</v>
          </cell>
          <cell r="D42">
            <v>43903</v>
          </cell>
          <cell r="E42">
            <v>0.59305555555555556</v>
          </cell>
          <cell r="F42">
            <v>6.4999999999999997E-3</v>
          </cell>
          <cell r="G42">
            <v>1.4500000000000001E-2</v>
          </cell>
          <cell r="I42">
            <v>2.3300000000000001E-2</v>
          </cell>
        </row>
        <row r="43">
          <cell r="B43" t="str">
            <v>CY-90</v>
          </cell>
          <cell r="C43" t="str">
            <v>ESP</v>
          </cell>
          <cell r="D43">
            <v>43903</v>
          </cell>
          <cell r="E43">
            <v>0.60347222222222219</v>
          </cell>
          <cell r="F43">
            <v>1.17E-2</v>
          </cell>
          <cell r="G43">
            <v>2.9700000000000001E-2</v>
          </cell>
          <cell r="I43">
            <v>1.35E-2</v>
          </cell>
        </row>
        <row r="44">
          <cell r="B44" t="str">
            <v>LY-128</v>
          </cell>
          <cell r="C44" t="str">
            <v>ESP</v>
          </cell>
          <cell r="D44">
            <v>43906</v>
          </cell>
          <cell r="E44">
            <v>0.37986111111111115</v>
          </cell>
          <cell r="F44">
            <v>1.1299999999999999E-2</v>
          </cell>
          <cell r="G44">
            <v>6.6E-3</v>
          </cell>
          <cell r="I44">
            <v>1.29E-2</v>
          </cell>
        </row>
        <row r="45">
          <cell r="B45" t="str">
            <v>LY-087</v>
          </cell>
          <cell r="C45" t="str">
            <v>ESP</v>
          </cell>
          <cell r="D45">
            <v>43906</v>
          </cell>
          <cell r="E45">
            <v>0.3840277777777778</v>
          </cell>
          <cell r="F45">
            <v>1.6000000000000001E-3</v>
          </cell>
          <cell r="G45">
            <v>1.4E-3</v>
          </cell>
          <cell r="I45">
            <v>6.1999999999999998E-3</v>
          </cell>
        </row>
        <row r="46">
          <cell r="B46" t="str">
            <v>LY-096</v>
          </cell>
          <cell r="C46" t="str">
            <v>ESP</v>
          </cell>
          <cell r="D46">
            <v>43906</v>
          </cell>
          <cell r="E46">
            <v>0.58888888888888891</v>
          </cell>
          <cell r="F46">
            <v>2.3E-3</v>
          </cell>
          <cell r="G46">
            <v>3.3E-3</v>
          </cell>
          <cell r="I46">
            <v>7.7000000000000002E-3</v>
          </cell>
        </row>
        <row r="47">
          <cell r="B47" t="str">
            <v>MN-87ST</v>
          </cell>
          <cell r="C47" t="str">
            <v>ESP</v>
          </cell>
          <cell r="D47">
            <v>43906</v>
          </cell>
          <cell r="E47">
            <v>0.61388888888888882</v>
          </cell>
          <cell r="F47">
            <v>4.7000000000000002E-3</v>
          </cell>
          <cell r="G47">
            <v>4.5999999999999999E-3</v>
          </cell>
          <cell r="I47">
            <v>2.8400000000000002E-2</v>
          </cell>
        </row>
        <row r="48">
          <cell r="B48" t="str">
            <v>LY-265</v>
          </cell>
          <cell r="C48" t="str">
            <v>ESP</v>
          </cell>
          <cell r="D48">
            <v>43907</v>
          </cell>
          <cell r="E48">
            <v>0.38541666666666669</v>
          </cell>
          <cell r="F48">
            <v>1.17E-2</v>
          </cell>
          <cell r="G48">
            <v>1.6799999999999999E-2</v>
          </cell>
          <cell r="I48">
            <v>2.1399999999999999E-2</v>
          </cell>
        </row>
        <row r="49">
          <cell r="B49" t="str">
            <v>LY-059</v>
          </cell>
          <cell r="C49" t="str">
            <v>ESP</v>
          </cell>
          <cell r="D49">
            <v>43907</v>
          </cell>
          <cell r="E49">
            <v>0.3923611111111111</v>
          </cell>
          <cell r="F49">
            <v>0.1179</v>
          </cell>
          <cell r="G49">
            <v>0.1323</v>
          </cell>
          <cell r="I49">
            <v>0.10730000000000001</v>
          </cell>
        </row>
        <row r="50">
          <cell r="B50" t="str">
            <v>LY-092</v>
          </cell>
          <cell r="C50" t="str">
            <v>ESP</v>
          </cell>
          <cell r="D50">
            <v>43907</v>
          </cell>
          <cell r="E50">
            <v>0.59513888888888888</v>
          </cell>
          <cell r="F50">
            <v>1.32E-2</v>
          </cell>
          <cell r="G50">
            <v>1.06E-2</v>
          </cell>
          <cell r="I50">
            <v>1.6500000000000001E-2</v>
          </cell>
        </row>
        <row r="51">
          <cell r="B51" t="str">
            <v>LY-161</v>
          </cell>
          <cell r="C51" t="str">
            <v>ESP</v>
          </cell>
          <cell r="D51">
            <v>43907</v>
          </cell>
          <cell r="E51">
            <v>0.60763888888888895</v>
          </cell>
          <cell r="F51">
            <v>2.5999999999999999E-3</v>
          </cell>
          <cell r="G51">
            <v>3.5000000000000001E-3</v>
          </cell>
          <cell r="I51">
            <v>8.3999999999999995E-3</v>
          </cell>
        </row>
        <row r="52">
          <cell r="B52" t="str">
            <v>LY-264</v>
          </cell>
          <cell r="C52" t="str">
            <v>ESP</v>
          </cell>
          <cell r="D52">
            <v>43908</v>
          </cell>
          <cell r="E52">
            <v>0.39374999999999999</v>
          </cell>
          <cell r="F52">
            <v>2.5999999999999999E-3</v>
          </cell>
          <cell r="G52">
            <v>4.3E-3</v>
          </cell>
          <cell r="I52">
            <v>1.15E-2</v>
          </cell>
        </row>
        <row r="53">
          <cell r="B53" t="str">
            <v>LY-138</v>
          </cell>
          <cell r="C53" t="str">
            <v>ESP</v>
          </cell>
          <cell r="D53">
            <v>43908</v>
          </cell>
          <cell r="E53">
            <v>0.40069444444444446</v>
          </cell>
          <cell r="F53">
            <v>4.7999999999999996E-3</v>
          </cell>
          <cell r="G53">
            <v>7.1999999999999998E-3</v>
          </cell>
          <cell r="I53">
            <v>2.3400000000000001E-2</v>
          </cell>
        </row>
        <row r="54">
          <cell r="B54" t="str">
            <v>LY-234</v>
          </cell>
          <cell r="C54" t="str">
            <v>ESP</v>
          </cell>
          <cell r="D54">
            <v>43908</v>
          </cell>
          <cell r="E54">
            <v>0.58680555555555558</v>
          </cell>
          <cell r="F54">
            <v>1.24E-2</v>
          </cell>
          <cell r="G54">
            <v>2.3599999999999999E-2</v>
          </cell>
          <cell r="I54">
            <v>2.12E-2</v>
          </cell>
        </row>
        <row r="55">
          <cell r="B55" t="str">
            <v>LY-109</v>
          </cell>
          <cell r="C55" t="str">
            <v>ESP</v>
          </cell>
          <cell r="D55">
            <v>43908</v>
          </cell>
          <cell r="E55">
            <v>0.59861111111111109</v>
          </cell>
          <cell r="F55">
            <v>1.9300000000000001E-2</v>
          </cell>
          <cell r="G55">
            <v>2.81E-2</v>
          </cell>
          <cell r="I55">
            <v>7.1999999999999998E-3</v>
          </cell>
        </row>
        <row r="56">
          <cell r="B56" t="str">
            <v>LY-048</v>
          </cell>
          <cell r="C56" t="str">
            <v>ESP</v>
          </cell>
          <cell r="D56">
            <v>43909</v>
          </cell>
          <cell r="E56">
            <v>0.40138888888888885</v>
          </cell>
          <cell r="F56">
            <v>1.61E-2</v>
          </cell>
          <cell r="G56">
            <v>2.9000000000000001E-2</v>
          </cell>
          <cell r="I56">
            <v>7.4999999999999997E-3</v>
          </cell>
        </row>
        <row r="57">
          <cell r="B57" t="str">
            <v>LY-303</v>
          </cell>
          <cell r="C57" t="str">
            <v>ESP</v>
          </cell>
          <cell r="D57">
            <v>43909</v>
          </cell>
          <cell r="E57">
            <v>0.48958333333333331</v>
          </cell>
          <cell r="F57">
            <v>5.7999999999999996E-3</v>
          </cell>
          <cell r="G57">
            <v>5.3E-3</v>
          </cell>
          <cell r="I57">
            <v>4.5100000000000001E-2</v>
          </cell>
        </row>
        <row r="58">
          <cell r="B58" t="str">
            <v>LY-065</v>
          </cell>
          <cell r="C58" t="str">
            <v>ESP</v>
          </cell>
          <cell r="D58">
            <v>44047</v>
          </cell>
          <cell r="E58">
            <v>0.3659722222222222</v>
          </cell>
          <cell r="F58">
            <v>8.6999999999999994E-3</v>
          </cell>
          <cell r="G58">
            <v>5.4999999999999997E-3</v>
          </cell>
          <cell r="I58">
            <v>2.8500000000000001E-2</v>
          </cell>
        </row>
        <row r="59">
          <cell r="B59" t="str">
            <v>LY-298</v>
          </cell>
          <cell r="C59" t="str">
            <v>ESP</v>
          </cell>
          <cell r="D59">
            <v>44047</v>
          </cell>
          <cell r="E59">
            <v>0.38958333333333334</v>
          </cell>
          <cell r="F59">
            <v>5.0000000000000001E-3</v>
          </cell>
          <cell r="G59">
            <v>1.35E-2</v>
          </cell>
          <cell r="I59">
            <v>1.49E-2</v>
          </cell>
        </row>
        <row r="60">
          <cell r="B60" t="str">
            <v>LY-289</v>
          </cell>
          <cell r="C60" t="str">
            <v>ESP</v>
          </cell>
          <cell r="D60">
            <v>44047</v>
          </cell>
          <cell r="E60">
            <v>0.59305555555555556</v>
          </cell>
          <cell r="F60">
            <v>8.5000000000000006E-3</v>
          </cell>
          <cell r="G60">
            <v>7.6E-3</v>
          </cell>
          <cell r="I60">
            <v>0.20250000000000001</v>
          </cell>
        </row>
        <row r="61">
          <cell r="B61" t="str">
            <v>LY-231</v>
          </cell>
          <cell r="C61" t="str">
            <v>ESP</v>
          </cell>
          <cell r="D61">
            <v>44047</v>
          </cell>
          <cell r="E61">
            <v>0.55902777777777779</v>
          </cell>
          <cell r="F61">
            <v>3.3E-3</v>
          </cell>
          <cell r="G61">
            <v>2.0999999999999999E-3</v>
          </cell>
          <cell r="I61">
            <v>4.7000000000000002E-3</v>
          </cell>
        </row>
        <row r="62">
          <cell r="B62" t="str">
            <v>LY-159</v>
          </cell>
          <cell r="C62" t="str">
            <v>ESP</v>
          </cell>
          <cell r="D62">
            <v>44048</v>
          </cell>
          <cell r="E62">
            <v>0.34166666666666662</v>
          </cell>
          <cell r="F62">
            <v>2.4899999999999999E-2</v>
          </cell>
          <cell r="G62">
            <v>2.2100000000000002E-2</v>
          </cell>
          <cell r="I62">
            <v>7.0000000000000007E-2</v>
          </cell>
        </row>
        <row r="63">
          <cell r="B63" t="str">
            <v>LY-108</v>
          </cell>
          <cell r="C63" t="str">
            <v>ESP</v>
          </cell>
          <cell r="D63">
            <v>44048</v>
          </cell>
          <cell r="E63">
            <v>0.36874999999999997</v>
          </cell>
          <cell r="F63">
            <v>2.81E-2</v>
          </cell>
          <cell r="G63">
            <v>5.1200000000000002E-2</v>
          </cell>
          <cell r="I63">
            <v>6.3299999999999995E-2</v>
          </cell>
        </row>
        <row r="64">
          <cell r="B64" t="str">
            <v>LY-164</v>
          </cell>
          <cell r="C64" t="str">
            <v>ESP</v>
          </cell>
          <cell r="D64">
            <v>44048</v>
          </cell>
          <cell r="E64">
            <v>0.54652777777777783</v>
          </cell>
          <cell r="F64">
            <v>4.1000000000000003E-3</v>
          </cell>
          <cell r="G64">
            <v>5.7999999999999996E-3</v>
          </cell>
          <cell r="I64">
            <v>1.4500000000000001E-2</v>
          </cell>
        </row>
        <row r="65">
          <cell r="B65" t="str">
            <v>LY-218</v>
          </cell>
          <cell r="C65" t="str">
            <v>ESP</v>
          </cell>
          <cell r="D65">
            <v>44048</v>
          </cell>
          <cell r="E65">
            <v>0.57916666666666672</v>
          </cell>
          <cell r="F65">
            <v>7.7999999999999996E-3</v>
          </cell>
          <cell r="G65">
            <v>3.2199999999999999E-2</v>
          </cell>
          <cell r="I65">
            <v>0.13</v>
          </cell>
        </row>
        <row r="66">
          <cell r="B66" t="str">
            <v>LY-019</v>
          </cell>
          <cell r="C66" t="str">
            <v>ESP</v>
          </cell>
          <cell r="D66">
            <v>44049</v>
          </cell>
          <cell r="E66">
            <v>0.35069444444444442</v>
          </cell>
          <cell r="F66">
            <v>1.6000000000000001E-3</v>
          </cell>
          <cell r="G66">
            <v>2.7000000000000001E-3</v>
          </cell>
          <cell r="I66">
            <v>1.6000000000000001E-3</v>
          </cell>
        </row>
        <row r="67">
          <cell r="B67" t="str">
            <v>LY-097</v>
          </cell>
          <cell r="C67" t="str">
            <v>ESP</v>
          </cell>
          <cell r="D67">
            <v>44049</v>
          </cell>
          <cell r="E67">
            <v>0.37638888888888888</v>
          </cell>
          <cell r="F67">
            <v>2.5999999999999999E-3</v>
          </cell>
          <cell r="G67">
            <v>1.1999999999999999E-3</v>
          </cell>
          <cell r="I67">
            <v>1.2500000000000001E-2</v>
          </cell>
        </row>
        <row r="68">
          <cell r="B68" t="str">
            <v>LY-223</v>
          </cell>
          <cell r="C68" t="str">
            <v>ESP</v>
          </cell>
          <cell r="D68">
            <v>44049</v>
          </cell>
          <cell r="E68">
            <v>0.55625000000000002</v>
          </cell>
          <cell r="F68">
            <v>0.17180000000000001</v>
          </cell>
          <cell r="G68">
            <v>0.12180000000000001</v>
          </cell>
          <cell r="I68">
            <v>7.7100000000000002E-2</v>
          </cell>
        </row>
        <row r="69">
          <cell r="B69" t="str">
            <v>LY-224</v>
          </cell>
          <cell r="C69" t="str">
            <v>ESP</v>
          </cell>
          <cell r="D69">
            <v>44049</v>
          </cell>
          <cell r="E69">
            <v>0.5756944444444444</v>
          </cell>
          <cell r="F69">
            <v>2.8E-3</v>
          </cell>
          <cell r="G69">
            <v>2.2200000000000001E-2</v>
          </cell>
          <cell r="I69">
            <v>9.8100000000000007E-2</v>
          </cell>
        </row>
        <row r="70">
          <cell r="B70" t="str">
            <v>LY-185</v>
          </cell>
          <cell r="C70" t="str">
            <v>ESP</v>
          </cell>
          <cell r="D70">
            <v>44053</v>
          </cell>
          <cell r="E70">
            <v>0.38125000000000003</v>
          </cell>
          <cell r="F70">
            <v>6.4000000000000003E-3</v>
          </cell>
          <cell r="G70">
            <v>6.3E-3</v>
          </cell>
          <cell r="I70">
            <v>1.06E-2</v>
          </cell>
        </row>
        <row r="71">
          <cell r="B71" t="str">
            <v>MN-84</v>
          </cell>
          <cell r="C71" t="str">
            <v>ESP</v>
          </cell>
          <cell r="D71">
            <v>44053</v>
          </cell>
          <cell r="E71">
            <v>0.3888888888888889</v>
          </cell>
          <cell r="F71">
            <v>4.4000000000000003E-3</v>
          </cell>
          <cell r="G71">
            <v>3.8E-3</v>
          </cell>
          <cell r="I71">
            <v>2.29E-2</v>
          </cell>
        </row>
        <row r="72">
          <cell r="B72" t="str">
            <v>MN-85</v>
          </cell>
          <cell r="C72" t="str">
            <v>ESP</v>
          </cell>
          <cell r="D72">
            <v>44053</v>
          </cell>
          <cell r="E72">
            <v>0.57013888888888886</v>
          </cell>
          <cell r="F72">
            <v>4.1000000000000003E-3</v>
          </cell>
          <cell r="G72">
            <v>5.3E-3</v>
          </cell>
          <cell r="I72">
            <v>5.8999999999999999E-3</v>
          </cell>
        </row>
        <row r="73">
          <cell r="B73" t="str">
            <v>CL-02</v>
          </cell>
          <cell r="C73" t="str">
            <v>ESP</v>
          </cell>
          <cell r="D73">
            <v>44053</v>
          </cell>
          <cell r="E73">
            <v>0.58194444444444449</v>
          </cell>
          <cell r="F73">
            <v>1.54E-2</v>
          </cell>
          <cell r="G73">
            <v>3.2099999999999997E-2</v>
          </cell>
          <cell r="I73">
            <v>2.8500000000000001E-2</v>
          </cell>
        </row>
        <row r="74">
          <cell r="B74" t="str">
            <v>MN-77ST</v>
          </cell>
          <cell r="C74" t="str">
            <v>ESP</v>
          </cell>
          <cell r="D74">
            <v>44054</v>
          </cell>
          <cell r="E74">
            <v>0.33680555555555558</v>
          </cell>
          <cell r="F74">
            <v>1.83E-2</v>
          </cell>
          <cell r="G74">
            <v>1.4800000000000001E-2</v>
          </cell>
          <cell r="I74">
            <v>1.04E-2</v>
          </cell>
        </row>
        <row r="75">
          <cell r="B75" t="str">
            <v>LY-253</v>
          </cell>
          <cell r="C75" t="str">
            <v>ESP</v>
          </cell>
          <cell r="D75">
            <v>44054</v>
          </cell>
          <cell r="E75">
            <v>0.3576388888888889</v>
          </cell>
          <cell r="F75">
            <v>5.5999999999999999E-3</v>
          </cell>
          <cell r="G75">
            <v>1.0800000000000001E-2</v>
          </cell>
          <cell r="I75">
            <v>1.34E-2</v>
          </cell>
        </row>
        <row r="76">
          <cell r="B76" t="str">
            <v>LY-290</v>
          </cell>
          <cell r="C76" t="str">
            <v>ESP</v>
          </cell>
          <cell r="D76">
            <v>44054</v>
          </cell>
          <cell r="E76">
            <v>0.59583333333333333</v>
          </cell>
          <cell r="F76">
            <v>1.01E-2</v>
          </cell>
          <cell r="G76">
            <v>1.06E-2</v>
          </cell>
          <cell r="I76">
            <v>2.2700000000000001E-2</v>
          </cell>
        </row>
        <row r="77">
          <cell r="B77" t="str">
            <v>LY-240</v>
          </cell>
          <cell r="C77" t="str">
            <v>ESP</v>
          </cell>
          <cell r="D77">
            <v>44054</v>
          </cell>
          <cell r="E77">
            <v>0.6069444444444444</v>
          </cell>
          <cell r="F77">
            <v>1.0200000000000001E-2</v>
          </cell>
          <cell r="G77">
            <v>7.1000000000000004E-3</v>
          </cell>
          <cell r="I77">
            <v>2.58E-2</v>
          </cell>
        </row>
        <row r="78">
          <cell r="B78" t="str">
            <v>CL-32</v>
          </cell>
          <cell r="C78" t="str">
            <v>ESP</v>
          </cell>
          <cell r="D78">
            <v>44055</v>
          </cell>
          <cell r="E78">
            <v>0.36180555555555555</v>
          </cell>
          <cell r="F78">
            <v>6.1000000000000004E-3</v>
          </cell>
          <cell r="G78">
            <v>9.9000000000000008E-3</v>
          </cell>
          <cell r="I78">
            <v>7.1999999999999998E-3</v>
          </cell>
        </row>
        <row r="79">
          <cell r="B79" t="str">
            <v>CL-16</v>
          </cell>
          <cell r="C79" t="str">
            <v>ESP</v>
          </cell>
          <cell r="D79">
            <v>44055</v>
          </cell>
          <cell r="E79">
            <v>0.36736111111111108</v>
          </cell>
          <cell r="F79">
            <v>0.20419999999999999</v>
          </cell>
          <cell r="G79">
            <v>0.13109999999999999</v>
          </cell>
          <cell r="I79">
            <v>5.0200000000000002E-2</v>
          </cell>
        </row>
        <row r="80">
          <cell r="B80" t="str">
            <v>CL-28</v>
          </cell>
          <cell r="C80" t="str">
            <v>ESP</v>
          </cell>
          <cell r="D80">
            <v>44055</v>
          </cell>
          <cell r="E80">
            <v>0.54166666666666663</v>
          </cell>
          <cell r="F80">
            <v>8.3000000000000001E-3</v>
          </cell>
          <cell r="G80">
            <v>9.5999999999999992E-3</v>
          </cell>
          <cell r="I80">
            <v>2.47E-2</v>
          </cell>
        </row>
        <row r="81">
          <cell r="B81" t="str">
            <v>CL-09</v>
          </cell>
          <cell r="C81" t="str">
            <v>ESP</v>
          </cell>
          <cell r="D81">
            <v>44055</v>
          </cell>
          <cell r="E81">
            <v>0.55138888888888882</v>
          </cell>
          <cell r="F81">
            <v>4.2599999999999999E-2</v>
          </cell>
          <cell r="G81">
            <v>1.3899999999999999E-2</v>
          </cell>
          <cell r="I81">
            <v>1.8200000000000001E-2</v>
          </cell>
        </row>
        <row r="82">
          <cell r="B82" t="str">
            <v>MN-35</v>
          </cell>
          <cell r="C82" t="str">
            <v>ESP</v>
          </cell>
          <cell r="D82">
            <v>44056</v>
          </cell>
          <cell r="E82">
            <v>0.35625000000000001</v>
          </cell>
          <cell r="F82">
            <v>1.61E-2</v>
          </cell>
          <cell r="G82">
            <v>1.6400000000000001E-2</v>
          </cell>
          <cell r="I82">
            <v>8.3999999999999995E-3</v>
          </cell>
        </row>
        <row r="83">
          <cell r="B83" t="str">
            <v>MN-82</v>
          </cell>
          <cell r="C83" t="str">
            <v>ESP</v>
          </cell>
          <cell r="D83">
            <v>44056</v>
          </cell>
          <cell r="E83">
            <v>0.3666666666666667</v>
          </cell>
          <cell r="F83">
            <v>4.7999999999999996E-3</v>
          </cell>
          <cell r="G83">
            <v>1.6000000000000001E-3</v>
          </cell>
          <cell r="I83">
            <v>3.3E-3</v>
          </cell>
        </row>
        <row r="84">
          <cell r="B84" t="str">
            <v>LY-066</v>
          </cell>
          <cell r="C84" t="str">
            <v>ESP</v>
          </cell>
          <cell r="D84">
            <v>44056</v>
          </cell>
          <cell r="E84">
            <v>0.5541666666666667</v>
          </cell>
          <cell r="F84">
            <v>3.0999999999999999E-3</v>
          </cell>
          <cell r="G84">
            <v>2.5000000000000001E-3</v>
          </cell>
          <cell r="I84">
            <v>2.5000000000000001E-3</v>
          </cell>
        </row>
        <row r="85">
          <cell r="B85" t="str">
            <v>CY-05</v>
          </cell>
          <cell r="C85" t="str">
            <v>ESP</v>
          </cell>
          <cell r="D85">
            <v>44056</v>
          </cell>
          <cell r="E85">
            <v>0.56388888888888888</v>
          </cell>
          <cell r="F85">
            <v>1.15E-2</v>
          </cell>
          <cell r="G85">
            <v>1.15E-2</v>
          </cell>
          <cell r="I85">
            <v>1.7999999999999999E-2</v>
          </cell>
        </row>
        <row r="86">
          <cell r="B86" t="str">
            <v>LY-100</v>
          </cell>
          <cell r="C86" t="str">
            <v>ESP</v>
          </cell>
          <cell r="D86">
            <v>44057</v>
          </cell>
          <cell r="E86">
            <v>0.3659722222222222</v>
          </cell>
          <cell r="F86">
            <v>3.44E-2</v>
          </cell>
          <cell r="G86">
            <v>2.5600000000000001E-2</v>
          </cell>
          <cell r="I86">
            <v>0.5111</v>
          </cell>
        </row>
        <row r="87">
          <cell r="B87" t="str">
            <v>LY-088</v>
          </cell>
          <cell r="C87" t="str">
            <v>ESP</v>
          </cell>
          <cell r="D87">
            <v>44057</v>
          </cell>
          <cell r="E87">
            <v>0.37291666666666662</v>
          </cell>
          <cell r="F87">
            <v>6.1999999999999998E-3</v>
          </cell>
          <cell r="G87">
            <v>8.2000000000000007E-3</v>
          </cell>
          <cell r="I87">
            <v>7.6899999999999996E-2</v>
          </cell>
        </row>
        <row r="88">
          <cell r="B88" t="str">
            <v>LY-076</v>
          </cell>
          <cell r="C88" t="str">
            <v>ESP</v>
          </cell>
          <cell r="D88">
            <v>44057</v>
          </cell>
          <cell r="E88">
            <v>0.5493055555555556</v>
          </cell>
          <cell r="F88">
            <v>8.6999999999999994E-3</v>
          </cell>
          <cell r="G88">
            <v>5.8999999999999999E-3</v>
          </cell>
          <cell r="I88">
            <v>2.3199999999999998E-2</v>
          </cell>
        </row>
        <row r="89">
          <cell r="B89" t="str">
            <v>LY-008</v>
          </cell>
          <cell r="C89" t="str">
            <v>ESP</v>
          </cell>
          <cell r="D89">
            <v>44057</v>
          </cell>
          <cell r="E89">
            <v>0.56041666666666667</v>
          </cell>
          <cell r="F89">
            <v>6.8999999999999999E-3</v>
          </cell>
          <cell r="G89">
            <v>7.3000000000000001E-3</v>
          </cell>
          <cell r="I89">
            <v>7.1999999999999998E-3</v>
          </cell>
        </row>
        <row r="90">
          <cell r="B90" t="str">
            <v>CH-08</v>
          </cell>
          <cell r="C90" t="str">
            <v>ESP</v>
          </cell>
          <cell r="D90">
            <v>44061</v>
          </cell>
          <cell r="E90">
            <v>0.49374999999999997</v>
          </cell>
          <cell r="F90">
            <v>9.1000000000000004E-3</v>
          </cell>
          <cell r="G90">
            <v>4.7999999999999996E-3</v>
          </cell>
          <cell r="I90">
            <v>1.8200000000000001E-2</v>
          </cell>
        </row>
        <row r="91">
          <cell r="B91" t="str">
            <v>CH-08</v>
          </cell>
          <cell r="C91" t="str">
            <v>ESP</v>
          </cell>
          <cell r="D91">
            <v>44062</v>
          </cell>
          <cell r="E91">
            <v>0.41666666666666669</v>
          </cell>
          <cell r="F91">
            <v>4.4200000000000003E-2</v>
          </cell>
          <cell r="G91">
            <v>7.8799999999999995E-2</v>
          </cell>
          <cell r="I91">
            <v>4.19E-2</v>
          </cell>
        </row>
        <row r="92">
          <cell r="B92" t="str">
            <v>CH-07</v>
          </cell>
          <cell r="C92" t="str">
            <v>ESP</v>
          </cell>
          <cell r="D92">
            <v>44061</v>
          </cell>
          <cell r="E92">
            <v>0.49444444444444446</v>
          </cell>
          <cell r="F92">
            <v>2.46E-2</v>
          </cell>
          <cell r="G92">
            <v>3.9899999999999998E-2</v>
          </cell>
          <cell r="I92">
            <v>6.2100000000000002E-2</v>
          </cell>
        </row>
        <row r="93">
          <cell r="B93" t="str">
            <v>CH-07</v>
          </cell>
          <cell r="C93" t="str">
            <v>ESP</v>
          </cell>
          <cell r="D93">
            <v>44062</v>
          </cell>
          <cell r="E93">
            <v>0.42152777777777778</v>
          </cell>
          <cell r="F93">
            <v>7.1999999999999998E-3</v>
          </cell>
          <cell r="G93">
            <v>6.3E-3</v>
          </cell>
          <cell r="I93">
            <v>1.43E-2</v>
          </cell>
        </row>
        <row r="94">
          <cell r="B94" t="str">
            <v>CH-09</v>
          </cell>
          <cell r="C94" t="str">
            <v>ESP</v>
          </cell>
          <cell r="D94">
            <v>44062</v>
          </cell>
          <cell r="E94">
            <v>0.43958333333333338</v>
          </cell>
          <cell r="F94">
            <v>6.6E-3</v>
          </cell>
          <cell r="G94">
            <v>1.35E-2</v>
          </cell>
          <cell r="I94">
            <v>5.7200000000000001E-2</v>
          </cell>
        </row>
        <row r="95">
          <cell r="B95" t="str">
            <v>CH-09</v>
          </cell>
          <cell r="C95" t="str">
            <v>ESP</v>
          </cell>
          <cell r="D95">
            <v>44063</v>
          </cell>
          <cell r="E95">
            <v>0.37847222222222227</v>
          </cell>
          <cell r="F95">
            <v>3.9399999999999998E-2</v>
          </cell>
          <cell r="G95">
            <v>4.5400000000000003E-2</v>
          </cell>
          <cell r="I95">
            <v>3.7100000000000001E-2</v>
          </cell>
        </row>
        <row r="96">
          <cell r="B96" t="str">
            <v>CH-03</v>
          </cell>
          <cell r="C96" t="str">
            <v>ESP</v>
          </cell>
          <cell r="D96">
            <v>44062</v>
          </cell>
          <cell r="E96">
            <v>0.44444444444444442</v>
          </cell>
          <cell r="F96">
            <v>7.4999999999999997E-3</v>
          </cell>
          <cell r="G96">
            <v>1.83E-2</v>
          </cell>
          <cell r="I96">
            <v>3.8699999999999998E-2</v>
          </cell>
        </row>
        <row r="97">
          <cell r="B97" t="str">
            <v>CH-03</v>
          </cell>
          <cell r="C97" t="str">
            <v>ESP</v>
          </cell>
          <cell r="D97">
            <v>44063</v>
          </cell>
          <cell r="E97">
            <v>0.38194444444444442</v>
          </cell>
          <cell r="F97">
            <v>5.7999999999999996E-3</v>
          </cell>
          <cell r="G97">
            <v>1.5800000000000002E-2</v>
          </cell>
          <cell r="I97">
            <v>1.2699999999999999E-2</v>
          </cell>
        </row>
        <row r="98">
          <cell r="B98" t="str">
            <v>CH-05</v>
          </cell>
          <cell r="C98" t="str">
            <v>ESP</v>
          </cell>
          <cell r="D98">
            <v>44063</v>
          </cell>
          <cell r="E98">
            <v>0.3923611111111111</v>
          </cell>
          <cell r="F98">
            <v>7.4999999999999997E-3</v>
          </cell>
          <cell r="G98">
            <v>1.7100000000000001E-2</v>
          </cell>
          <cell r="I98">
            <v>2.4899999999999999E-2</v>
          </cell>
        </row>
        <row r="99">
          <cell r="B99" t="str">
            <v>No.2</v>
          </cell>
          <cell r="D99">
            <v>44064</v>
          </cell>
          <cell r="E99">
            <v>0.37291666666666662</v>
          </cell>
          <cell r="F99">
            <v>9.2999999999999992E-3</v>
          </cell>
          <cell r="G99">
            <v>1.7000000000000001E-2</v>
          </cell>
          <cell r="I99">
            <v>6.6199999999999995E-2</v>
          </cell>
        </row>
        <row r="100">
          <cell r="B100" t="str">
            <v>CH-14</v>
          </cell>
          <cell r="C100" t="str">
            <v>ESP</v>
          </cell>
          <cell r="D100">
            <v>44063</v>
          </cell>
          <cell r="E100">
            <v>0.3979166666666667</v>
          </cell>
          <cell r="F100">
            <v>4.4000000000000003E-3</v>
          </cell>
          <cell r="G100">
            <v>1.11E-2</v>
          </cell>
          <cell r="I100">
            <v>6.6E-3</v>
          </cell>
        </row>
        <row r="101">
          <cell r="B101" t="str">
            <v>No.2</v>
          </cell>
          <cell r="D101">
            <v>44064</v>
          </cell>
          <cell r="E101">
            <v>0.37847222222222227</v>
          </cell>
          <cell r="F101">
            <v>1.6000000000000001E-3</v>
          </cell>
          <cell r="G101">
            <v>3.2000000000000002E-3</v>
          </cell>
          <cell r="I101">
            <v>7.4000000000000003E-3</v>
          </cell>
        </row>
        <row r="102">
          <cell r="B102" t="str">
            <v>CH-10</v>
          </cell>
          <cell r="C102" t="str">
            <v>ESP</v>
          </cell>
          <cell r="D102">
            <v>44064</v>
          </cell>
          <cell r="E102">
            <v>0.3888888888888889</v>
          </cell>
          <cell r="F102">
            <v>1.4E-3</v>
          </cell>
          <cell r="G102">
            <v>1.2500000000000001E-2</v>
          </cell>
          <cell r="I102">
            <v>0.1396</v>
          </cell>
        </row>
        <row r="103">
          <cell r="B103" t="str">
            <v>N0.2</v>
          </cell>
          <cell r="D103">
            <v>44065</v>
          </cell>
          <cell r="E103">
            <v>0.3125</v>
          </cell>
          <cell r="F103">
            <v>4.3E-3</v>
          </cell>
          <cell r="G103">
            <v>5.3E-3</v>
          </cell>
          <cell r="I103">
            <v>7.1000000000000004E-3</v>
          </cell>
        </row>
        <row r="104">
          <cell r="B104" t="str">
            <v>CH-19</v>
          </cell>
          <cell r="C104" t="str">
            <v>ESP</v>
          </cell>
          <cell r="D104">
            <v>44064</v>
          </cell>
          <cell r="E104">
            <v>0.4152777777777778</v>
          </cell>
          <cell r="F104">
            <v>7.7000000000000002E-3</v>
          </cell>
          <cell r="G104">
            <v>1.04E-2</v>
          </cell>
          <cell r="I104">
            <v>5.6500000000000002E-2</v>
          </cell>
        </row>
        <row r="105">
          <cell r="B105" t="str">
            <v>No.2</v>
          </cell>
          <cell r="D105">
            <v>44065</v>
          </cell>
          <cell r="E105">
            <v>0.31597222222222221</v>
          </cell>
          <cell r="F105">
            <v>3.8999999999999998E-3</v>
          </cell>
          <cell r="G105">
            <v>1.89E-2</v>
          </cell>
          <cell r="I105">
            <v>8.1100000000000005E-2</v>
          </cell>
        </row>
        <row r="106">
          <cell r="B106" t="str">
            <v>CH-26</v>
          </cell>
          <cell r="C106" t="str">
            <v>ESP</v>
          </cell>
          <cell r="D106">
            <v>44067</v>
          </cell>
          <cell r="E106">
            <v>0.34166666666666662</v>
          </cell>
          <cell r="F106">
            <v>7.1999999999999998E-3</v>
          </cell>
          <cell r="G106">
            <v>1.26E-2</v>
          </cell>
          <cell r="I106">
            <v>1.89E-2</v>
          </cell>
        </row>
        <row r="107">
          <cell r="B107" t="str">
            <v>No.2</v>
          </cell>
          <cell r="D107">
            <v>44068</v>
          </cell>
          <cell r="E107">
            <v>0.31944444444444448</v>
          </cell>
          <cell r="F107">
            <v>3.5999999999999999E-3</v>
          </cell>
          <cell r="G107">
            <v>0.02</v>
          </cell>
          <cell r="I107">
            <v>8.0500000000000002E-2</v>
          </cell>
        </row>
        <row r="108">
          <cell r="B108" t="str">
            <v>CH-24</v>
          </cell>
          <cell r="C108" t="str">
            <v>ESP</v>
          </cell>
          <cell r="D108">
            <v>44067</v>
          </cell>
          <cell r="E108" t="str">
            <v>8:!4</v>
          </cell>
          <cell r="F108">
            <v>1.1299999999999999E-2</v>
          </cell>
          <cell r="G108">
            <v>2.12E-2</v>
          </cell>
          <cell r="I108">
            <v>0.15690000000000001</v>
          </cell>
        </row>
        <row r="109">
          <cell r="B109" t="str">
            <v>No.2</v>
          </cell>
          <cell r="D109">
            <v>44068</v>
          </cell>
          <cell r="E109">
            <v>0.3215277777777778</v>
          </cell>
          <cell r="F109">
            <v>1.37E-2</v>
          </cell>
          <cell r="G109">
            <v>9.1000000000000004E-3</v>
          </cell>
          <cell r="I109">
            <v>0.219</v>
          </cell>
        </row>
        <row r="110">
          <cell r="B110" t="str">
            <v>CH-22</v>
          </cell>
          <cell r="C110" t="str">
            <v>ESP</v>
          </cell>
          <cell r="D110">
            <v>44068</v>
          </cell>
          <cell r="E110">
            <v>0.33263888888888887</v>
          </cell>
          <cell r="F110">
            <v>1.2500000000000001E-2</v>
          </cell>
          <cell r="G110">
            <v>1.7500000000000002E-2</v>
          </cell>
          <cell r="I110">
            <v>0.5071</v>
          </cell>
        </row>
        <row r="111">
          <cell r="B111" t="str">
            <v>No.2</v>
          </cell>
          <cell r="D111">
            <v>44069</v>
          </cell>
          <cell r="E111">
            <v>0.31944444444444448</v>
          </cell>
          <cell r="F111">
            <v>6.1000000000000004E-3</v>
          </cell>
          <cell r="G111">
            <v>1.47E-2</v>
          </cell>
          <cell r="I111">
            <v>0.2641</v>
          </cell>
        </row>
        <row r="112">
          <cell r="B112" t="str">
            <v>CH-27</v>
          </cell>
          <cell r="C112" t="str">
            <v>ESP</v>
          </cell>
          <cell r="D112">
            <v>44068</v>
          </cell>
          <cell r="E112">
            <v>0.33333333333333331</v>
          </cell>
          <cell r="F112">
            <v>1.1999999999999999E-3</v>
          </cell>
          <cell r="G112">
            <v>2.3E-3</v>
          </cell>
          <cell r="I112">
            <v>1.55E-2</v>
          </cell>
        </row>
        <row r="113">
          <cell r="B113" t="str">
            <v>No.2</v>
          </cell>
          <cell r="D113">
            <v>44069</v>
          </cell>
          <cell r="E113">
            <v>0.32083333333333336</v>
          </cell>
          <cell r="F113">
            <v>1.6000000000000001E-3</v>
          </cell>
          <cell r="G113">
            <v>1.6000000000000001E-3</v>
          </cell>
          <cell r="I113">
            <v>1.8800000000000001E-2</v>
          </cell>
        </row>
        <row r="114">
          <cell r="B114" t="str">
            <v>CV-02</v>
          </cell>
          <cell r="C114" t="str">
            <v>ESP</v>
          </cell>
          <cell r="D114">
            <v>44069</v>
          </cell>
          <cell r="E114">
            <v>0.35972222222222222</v>
          </cell>
          <cell r="F114">
            <v>3.8999999999999998E-3</v>
          </cell>
          <cell r="G114">
            <v>8.0000000000000002E-3</v>
          </cell>
          <cell r="I114">
            <v>5.4999999999999997E-3</v>
          </cell>
        </row>
        <row r="115">
          <cell r="B115" t="str">
            <v>RD-16</v>
          </cell>
          <cell r="C115" t="str">
            <v>ESP</v>
          </cell>
          <cell r="D115">
            <v>44069</v>
          </cell>
          <cell r="E115">
            <v>0.36944444444444446</v>
          </cell>
          <cell r="F115">
            <v>8.5000000000000006E-3</v>
          </cell>
          <cell r="G115">
            <v>6.8999999999999999E-3</v>
          </cell>
          <cell r="I115">
            <v>3.8E-3</v>
          </cell>
        </row>
        <row r="116">
          <cell r="B116" t="str">
            <v>GLO-01</v>
          </cell>
          <cell r="C116" t="str">
            <v>ESP</v>
          </cell>
          <cell r="D116">
            <v>44069</v>
          </cell>
          <cell r="E116">
            <v>0.56944444444444442</v>
          </cell>
          <cell r="F116">
            <v>4.6800000000000001E-2</v>
          </cell>
          <cell r="G116">
            <v>2.8000000000000001E-2</v>
          </cell>
          <cell r="I116">
            <v>0.12180000000000001</v>
          </cell>
        </row>
        <row r="117">
          <cell r="B117" t="str">
            <v>CL-33</v>
          </cell>
          <cell r="C117" t="str">
            <v>BM</v>
          </cell>
          <cell r="D117">
            <v>44069</v>
          </cell>
          <cell r="E117">
            <v>0.55833333333333335</v>
          </cell>
          <cell r="F117">
            <v>3.44E-2</v>
          </cell>
          <cell r="G117">
            <v>1.78E-2</v>
          </cell>
          <cell r="I117">
            <v>8.2799999999999999E-2</v>
          </cell>
        </row>
        <row r="118">
          <cell r="B118" t="str">
            <v>LY-122</v>
          </cell>
          <cell r="C118" t="str">
            <v>BM</v>
          </cell>
          <cell r="D118">
            <v>44070</v>
          </cell>
          <cell r="E118">
            <v>0.3527777777777778</v>
          </cell>
          <cell r="F118">
            <v>3.8999999999999998E-3</v>
          </cell>
          <cell r="G118">
            <v>4.8999999999999998E-3</v>
          </cell>
          <cell r="I118">
            <v>1.8200000000000001E-2</v>
          </cell>
        </row>
        <row r="119">
          <cell r="B119" t="str">
            <v>LY-006</v>
          </cell>
          <cell r="C119" t="str">
            <v>ESP</v>
          </cell>
          <cell r="D119">
            <v>44070</v>
          </cell>
          <cell r="E119">
            <v>0.36458333333333331</v>
          </cell>
          <cell r="F119">
            <v>5.4999999999999997E-3</v>
          </cell>
          <cell r="G119">
            <v>1.2E-2</v>
          </cell>
          <cell r="I119">
            <v>7.0499999999999993E-2</v>
          </cell>
        </row>
        <row r="120">
          <cell r="B120" t="str">
            <v>LY-235</v>
          </cell>
          <cell r="C120" t="str">
            <v>ESP</v>
          </cell>
          <cell r="D120">
            <v>44070</v>
          </cell>
          <cell r="E120">
            <v>0.54166666666666663</v>
          </cell>
          <cell r="F120">
            <v>2E-3</v>
          </cell>
          <cell r="G120">
            <v>8.9999999999999993E-3</v>
          </cell>
          <cell r="I120">
            <v>4.2700000000000002E-2</v>
          </cell>
        </row>
        <row r="121">
          <cell r="B121" t="str">
            <v>CY-89</v>
          </cell>
          <cell r="C121" t="str">
            <v>ESP</v>
          </cell>
          <cell r="D121">
            <v>44070</v>
          </cell>
          <cell r="E121">
            <v>0.55069444444444449</v>
          </cell>
          <cell r="F121">
            <v>1.26E-2</v>
          </cell>
          <cell r="G121">
            <v>9.4000000000000004E-3</v>
          </cell>
          <cell r="I121">
            <v>2.0799999999999999E-2</v>
          </cell>
        </row>
        <row r="122">
          <cell r="B122" t="str">
            <v>LY-152</v>
          </cell>
          <cell r="C122" t="str">
            <v>ESP</v>
          </cell>
          <cell r="D122">
            <v>44071</v>
          </cell>
          <cell r="E122">
            <v>0.34097222222222223</v>
          </cell>
          <cell r="F122">
            <v>1.6199999999999999E-2</v>
          </cell>
          <cell r="G122">
            <v>1.6500000000000001E-2</v>
          </cell>
          <cell r="I122">
            <v>5.91E-2</v>
          </cell>
        </row>
        <row r="123">
          <cell r="B123" t="str">
            <v>LY-269</v>
          </cell>
          <cell r="C123" t="str">
            <v>ESP</v>
          </cell>
          <cell r="D123">
            <v>44071</v>
          </cell>
          <cell r="E123">
            <v>0.3520833333333333</v>
          </cell>
          <cell r="F123">
            <v>2E-3</v>
          </cell>
          <cell r="G123">
            <v>4.1000000000000003E-3</v>
          </cell>
          <cell r="I123">
            <v>9.7000000000000003E-3</v>
          </cell>
        </row>
        <row r="124">
          <cell r="B124" t="str">
            <v>LY-121</v>
          </cell>
          <cell r="C124" t="str">
            <v>ESP</v>
          </cell>
          <cell r="D124">
            <v>44071</v>
          </cell>
          <cell r="E124">
            <v>0.53749999999999998</v>
          </cell>
          <cell r="F124">
            <v>9.9000000000000008E-3</v>
          </cell>
          <cell r="G124">
            <v>6.7999999999999996E-3</v>
          </cell>
          <cell r="I124">
            <v>1.7500000000000002E-2</v>
          </cell>
        </row>
        <row r="125">
          <cell r="B125" t="str">
            <v>LY-090</v>
          </cell>
          <cell r="C125" t="str">
            <v>ESP</v>
          </cell>
          <cell r="D125">
            <v>44071</v>
          </cell>
          <cell r="E125">
            <v>0.52708333333333335</v>
          </cell>
          <cell r="F125">
            <v>7.1000000000000004E-3</v>
          </cell>
          <cell r="G125">
            <v>7.4999999999999997E-3</v>
          </cell>
          <cell r="I125">
            <v>2.9000000000000001E-2</v>
          </cell>
        </row>
        <row r="126">
          <cell r="B126" t="str">
            <v>MN-38</v>
          </cell>
          <cell r="C126" t="str">
            <v>ESP</v>
          </cell>
          <cell r="D126">
            <v>44074</v>
          </cell>
          <cell r="E126">
            <v>0.39583333333333331</v>
          </cell>
          <cell r="F126">
            <v>6.4000000000000003E-3</v>
          </cell>
          <cell r="G126">
            <v>1.24E-2</v>
          </cell>
          <cell r="I126">
            <v>2.3699999999999999E-2</v>
          </cell>
        </row>
        <row r="127">
          <cell r="B127" t="str">
            <v>LY-262</v>
          </cell>
          <cell r="C127" t="str">
            <v>ESP</v>
          </cell>
          <cell r="D127">
            <v>44074</v>
          </cell>
          <cell r="E127">
            <v>0.41180555555555554</v>
          </cell>
          <cell r="F127">
            <v>7.3000000000000001E-3</v>
          </cell>
          <cell r="G127">
            <v>7.6E-3</v>
          </cell>
          <cell r="I127">
            <v>1.4800000000000001E-2</v>
          </cell>
        </row>
        <row r="128">
          <cell r="B128" t="str">
            <v>LY-272</v>
          </cell>
          <cell r="C128" t="str">
            <v>ESP</v>
          </cell>
          <cell r="D128">
            <v>44074</v>
          </cell>
          <cell r="E128">
            <v>0.59652777777777777</v>
          </cell>
          <cell r="F128">
            <v>5.1999999999999998E-3</v>
          </cell>
          <cell r="G128">
            <v>1.03E-2</v>
          </cell>
          <cell r="I128">
            <v>5.4899999999999997E-2</v>
          </cell>
        </row>
        <row r="129">
          <cell r="B129" t="str">
            <v>LY-32</v>
          </cell>
          <cell r="C129" t="str">
            <v>ESP</v>
          </cell>
          <cell r="D129">
            <v>44074</v>
          </cell>
          <cell r="E129">
            <v>0.58819444444444446</v>
          </cell>
          <cell r="F129">
            <v>1.12E-2</v>
          </cell>
          <cell r="G129">
            <v>1.0500000000000001E-2</v>
          </cell>
          <cell r="I129">
            <v>1.3599999999999999E-2</v>
          </cell>
        </row>
        <row r="130">
          <cell r="B130" t="str">
            <v>LY-286ST</v>
          </cell>
          <cell r="C130" t="str">
            <v>ESP</v>
          </cell>
          <cell r="D130">
            <v>44075</v>
          </cell>
          <cell r="E130">
            <v>0.35833333333333334</v>
          </cell>
          <cell r="F130">
            <v>5.6800000000000003E-2</v>
          </cell>
          <cell r="G130">
            <v>0.1552</v>
          </cell>
          <cell r="I130">
            <v>0.13869999999999999</v>
          </cell>
        </row>
        <row r="131">
          <cell r="B131" t="str">
            <v>LY-156</v>
          </cell>
          <cell r="C131" t="str">
            <v>ESP</v>
          </cell>
          <cell r="D131">
            <v>44075</v>
          </cell>
          <cell r="E131">
            <v>0.37013888888888885</v>
          </cell>
          <cell r="F131">
            <v>3.5000000000000001E-3</v>
          </cell>
          <cell r="G131">
            <v>7.7000000000000002E-3</v>
          </cell>
          <cell r="I131">
            <v>2.0799999999999999E-2</v>
          </cell>
        </row>
        <row r="132">
          <cell r="B132" t="str">
            <v>LY-239</v>
          </cell>
          <cell r="C132" t="str">
            <v>ESP</v>
          </cell>
          <cell r="D132">
            <v>44075</v>
          </cell>
          <cell r="E132">
            <v>0.5493055555555556</v>
          </cell>
          <cell r="F132">
            <v>5.4999999999999997E-3</v>
          </cell>
          <cell r="G132">
            <v>3.5000000000000001E-3</v>
          </cell>
          <cell r="I132">
            <v>6.1000000000000004E-3</v>
          </cell>
        </row>
        <row r="133">
          <cell r="B133" t="str">
            <v>LY-263</v>
          </cell>
          <cell r="C133" t="str">
            <v>ESP</v>
          </cell>
          <cell r="D133">
            <v>44075</v>
          </cell>
          <cell r="E133">
            <v>0.5625</v>
          </cell>
          <cell r="F133">
            <v>2.24E-2</v>
          </cell>
          <cell r="G133">
            <v>1.6799999999999999E-2</v>
          </cell>
          <cell r="I133">
            <v>3.2199999999999999E-2</v>
          </cell>
        </row>
        <row r="134">
          <cell r="B134" t="str">
            <v>LY-094</v>
          </cell>
          <cell r="C134" t="str">
            <v>BM</v>
          </cell>
          <cell r="D134">
            <v>44076</v>
          </cell>
          <cell r="E134">
            <v>0.3430555555555555</v>
          </cell>
          <cell r="F134">
            <v>2E-3</v>
          </cell>
          <cell r="G134">
            <v>2.8E-3</v>
          </cell>
          <cell r="I134">
            <v>5.8999999999999999E-3</v>
          </cell>
        </row>
        <row r="135">
          <cell r="B135" t="str">
            <v>LY-283</v>
          </cell>
          <cell r="C135" t="str">
            <v>BM</v>
          </cell>
          <cell r="D135">
            <v>44076</v>
          </cell>
          <cell r="E135">
            <v>0.35555555555555557</v>
          </cell>
          <cell r="F135">
            <v>1.0500000000000001E-2</v>
          </cell>
          <cell r="G135">
            <v>6.4000000000000003E-3</v>
          </cell>
          <cell r="I135">
            <v>1.5100000000000001E-2</v>
          </cell>
        </row>
        <row r="136">
          <cell r="B136" t="str">
            <v>LY-247</v>
          </cell>
          <cell r="C136" t="str">
            <v>ESP</v>
          </cell>
          <cell r="D136">
            <v>44076</v>
          </cell>
          <cell r="E136">
            <v>0.54166666666666663</v>
          </cell>
          <cell r="F136">
            <v>5.4999999999999997E-3</v>
          </cell>
          <cell r="G136">
            <v>5.3E-3</v>
          </cell>
          <cell r="I136">
            <v>6.1999999999999998E-3</v>
          </cell>
        </row>
        <row r="137">
          <cell r="B137" t="str">
            <v>LY-45</v>
          </cell>
          <cell r="C137" t="str">
            <v>ESP</v>
          </cell>
          <cell r="D137">
            <v>44076</v>
          </cell>
          <cell r="E137">
            <v>0.55486111111111114</v>
          </cell>
          <cell r="F137">
            <v>3.5999999999999999E-3</v>
          </cell>
          <cell r="G137">
            <v>3.5999999999999999E-3</v>
          </cell>
          <cell r="I137">
            <v>8.8999999999999999E-3</v>
          </cell>
        </row>
        <row r="138">
          <cell r="B138" t="str">
            <v>LY-95</v>
          </cell>
          <cell r="C138" t="str">
            <v>ESP</v>
          </cell>
          <cell r="D138">
            <v>44077</v>
          </cell>
          <cell r="E138">
            <v>0.33888888888888885</v>
          </cell>
          <cell r="F138">
            <v>2.3300000000000001E-2</v>
          </cell>
          <cell r="G138">
            <v>1.4800000000000001E-2</v>
          </cell>
          <cell r="I138">
            <v>1.6400000000000001E-2</v>
          </cell>
        </row>
        <row r="139">
          <cell r="B139" t="str">
            <v>CY-16</v>
          </cell>
          <cell r="C139" t="str">
            <v>ESP</v>
          </cell>
          <cell r="D139">
            <v>44077</v>
          </cell>
          <cell r="E139">
            <v>0.35347222222222219</v>
          </cell>
          <cell r="F139">
            <v>4.5999999999999999E-3</v>
          </cell>
          <cell r="G139">
            <v>4.7999999999999996E-3</v>
          </cell>
          <cell r="I139">
            <v>5.8999999999999999E-3</v>
          </cell>
        </row>
        <row r="140">
          <cell r="B140" t="str">
            <v>CY-14</v>
          </cell>
          <cell r="C140" t="str">
            <v>ESP</v>
          </cell>
          <cell r="D140">
            <v>44077</v>
          </cell>
          <cell r="E140">
            <v>0.53472222222222221</v>
          </cell>
          <cell r="F140">
            <v>6.0000000000000001E-3</v>
          </cell>
          <cell r="G140">
            <v>7.7000000000000002E-3</v>
          </cell>
          <cell r="I140">
            <v>7.4000000000000003E-3</v>
          </cell>
        </row>
        <row r="141">
          <cell r="B141" t="str">
            <v>CY.079</v>
          </cell>
          <cell r="C141" t="str">
            <v>ESP</v>
          </cell>
          <cell r="D141">
            <v>44077</v>
          </cell>
          <cell r="E141">
            <v>0.54305555555555551</v>
          </cell>
          <cell r="F141">
            <v>2.3999999999999998E-3</v>
          </cell>
          <cell r="G141">
            <v>1.6000000000000001E-3</v>
          </cell>
          <cell r="I141">
            <v>5.7999999999999996E-3</v>
          </cell>
        </row>
        <row r="142">
          <cell r="B142" t="str">
            <v>CY-28</v>
          </cell>
          <cell r="C142" t="str">
            <v>ESP</v>
          </cell>
          <cell r="D142">
            <v>44078</v>
          </cell>
          <cell r="E142">
            <v>0.34236111111111112</v>
          </cell>
          <cell r="F142">
            <v>5.8999999999999999E-3</v>
          </cell>
          <cell r="G142">
            <v>4.4000000000000003E-3</v>
          </cell>
          <cell r="I142">
            <v>1.24E-2</v>
          </cell>
        </row>
        <row r="143">
          <cell r="B143" t="str">
            <v>CY-57</v>
          </cell>
          <cell r="C143" t="str">
            <v>ESP</v>
          </cell>
          <cell r="D143">
            <v>44078</v>
          </cell>
          <cell r="E143">
            <v>0.35555555555555557</v>
          </cell>
          <cell r="F143">
            <v>2.1000000000000001E-2</v>
          </cell>
          <cell r="G143">
            <v>6.7999999999999996E-3</v>
          </cell>
          <cell r="I143">
            <v>6.4999999999999997E-3</v>
          </cell>
        </row>
        <row r="144">
          <cell r="B144" t="str">
            <v>LY-70</v>
          </cell>
          <cell r="C144" t="str">
            <v>ESP</v>
          </cell>
          <cell r="D144">
            <v>44078</v>
          </cell>
          <cell r="E144">
            <v>0.53402777777777777</v>
          </cell>
          <cell r="F144">
            <v>2.0400000000000001E-2</v>
          </cell>
          <cell r="G144">
            <v>2.41E-2</v>
          </cell>
          <cell r="I144">
            <v>0.14219999999999999</v>
          </cell>
        </row>
        <row r="145">
          <cell r="B145" t="str">
            <v>LY-151</v>
          </cell>
          <cell r="C145" t="str">
            <v>ESP</v>
          </cell>
          <cell r="D145">
            <v>44078</v>
          </cell>
          <cell r="E145">
            <v>0.54236111111111118</v>
          </cell>
          <cell r="F145">
            <v>1.5900000000000001E-2</v>
          </cell>
          <cell r="G145">
            <v>2.5600000000000001E-2</v>
          </cell>
          <cell r="I145">
            <v>2.8500000000000001E-2</v>
          </cell>
        </row>
        <row r="146">
          <cell r="B146" t="str">
            <v>MN-X3</v>
          </cell>
          <cell r="C146" t="str">
            <v>ESP</v>
          </cell>
          <cell r="D146">
            <v>44081</v>
          </cell>
          <cell r="E146">
            <v>0.35625000000000001</v>
          </cell>
          <cell r="F146">
            <v>2.7000000000000001E-3</v>
          </cell>
          <cell r="G146">
            <v>6.8999999999999999E-3</v>
          </cell>
          <cell r="I146">
            <v>1.77E-2</v>
          </cell>
        </row>
        <row r="147">
          <cell r="B147" t="str">
            <v>MN-X2</v>
          </cell>
          <cell r="C147" t="str">
            <v>ESP</v>
          </cell>
          <cell r="D147">
            <v>44081</v>
          </cell>
          <cell r="E147">
            <v>0.36041666666666666</v>
          </cell>
          <cell r="F147">
            <v>8.0999999999999996E-3</v>
          </cell>
          <cell r="G147">
            <v>2.1000000000000001E-2</v>
          </cell>
          <cell r="I147">
            <v>5.6899999999999999E-2</v>
          </cell>
        </row>
        <row r="148">
          <cell r="B148" t="str">
            <v>MN-X5</v>
          </cell>
          <cell r="C148" t="str">
            <v>ESP</v>
          </cell>
          <cell r="D148">
            <v>44081</v>
          </cell>
          <cell r="E148">
            <v>0.36458333333333331</v>
          </cell>
          <cell r="F148">
            <v>2.2200000000000001E-2</v>
          </cell>
          <cell r="G148">
            <v>2.07E-2</v>
          </cell>
          <cell r="I148">
            <v>1.34E-2</v>
          </cell>
        </row>
        <row r="149">
          <cell r="B149" t="str">
            <v>CY-47ST</v>
          </cell>
          <cell r="C149" t="str">
            <v>ESP</v>
          </cell>
          <cell r="D149">
            <v>44081</v>
          </cell>
          <cell r="E149">
            <v>0.53472222222222221</v>
          </cell>
          <cell r="F149">
            <v>1.1000000000000001E-3</v>
          </cell>
          <cell r="G149">
            <v>3.0999999999999999E-3</v>
          </cell>
          <cell r="I149">
            <v>4.1000000000000003E-3</v>
          </cell>
        </row>
        <row r="150">
          <cell r="B150" t="str">
            <v>CY-74</v>
          </cell>
          <cell r="C150" t="str">
            <v>ESP</v>
          </cell>
          <cell r="D150">
            <v>44081</v>
          </cell>
          <cell r="E150">
            <v>0.55486111111111114</v>
          </cell>
          <cell r="F150">
            <v>3.0999999999999999E-3</v>
          </cell>
          <cell r="G150">
            <v>5.1000000000000004E-3</v>
          </cell>
          <cell r="I150">
            <v>8.8000000000000005E-3</v>
          </cell>
        </row>
        <row r="151">
          <cell r="B151" t="str">
            <v>CY-77</v>
          </cell>
          <cell r="C151" t="str">
            <v>ESP</v>
          </cell>
          <cell r="D151">
            <v>44081</v>
          </cell>
          <cell r="E151">
            <v>0.54861111111111105</v>
          </cell>
          <cell r="F151">
            <v>1.6999999999999999E-3</v>
          </cell>
          <cell r="G151">
            <v>2.2000000000000001E-3</v>
          </cell>
          <cell r="I151">
            <v>8.0999999999999996E-3</v>
          </cell>
        </row>
        <row r="152">
          <cell r="B152" t="str">
            <v>MN-48</v>
          </cell>
          <cell r="C152" t="str">
            <v>ESP</v>
          </cell>
          <cell r="D152">
            <v>44082</v>
          </cell>
          <cell r="E152">
            <v>0.3520833333333333</v>
          </cell>
          <cell r="F152">
            <v>4.7999999999999996E-3</v>
          </cell>
          <cell r="G152">
            <v>8.8999999999999999E-3</v>
          </cell>
          <cell r="I152">
            <v>1.6199999999999999E-2</v>
          </cell>
        </row>
        <row r="153">
          <cell r="B153" t="str">
            <v>CY-86</v>
          </cell>
          <cell r="C153" t="str">
            <v>ESP</v>
          </cell>
          <cell r="D153">
            <v>44082</v>
          </cell>
          <cell r="E153">
            <v>0.36319444444444443</v>
          </cell>
          <cell r="F153">
            <v>1.9599999999999999E-2</v>
          </cell>
          <cell r="G153">
            <v>6.8999999999999999E-3</v>
          </cell>
          <cell r="I153">
            <v>1.2E-2</v>
          </cell>
        </row>
        <row r="154">
          <cell r="B154" t="str">
            <v>CY-12</v>
          </cell>
          <cell r="C154" t="str">
            <v>ESP</v>
          </cell>
          <cell r="D154">
            <v>44082</v>
          </cell>
          <cell r="E154">
            <v>0.37152777777777773</v>
          </cell>
          <cell r="F154">
            <v>1.6899999999999998E-2</v>
          </cell>
          <cell r="G154">
            <v>4.4000000000000003E-3</v>
          </cell>
          <cell r="I154">
            <v>1.52E-2</v>
          </cell>
        </row>
        <row r="155">
          <cell r="B155" t="str">
            <v>CY-32</v>
          </cell>
          <cell r="C155" t="str">
            <v>ESP</v>
          </cell>
          <cell r="D155">
            <v>44082</v>
          </cell>
          <cell r="E155">
            <v>0.54722222222222217</v>
          </cell>
          <cell r="F155">
            <v>0.68979999999999997</v>
          </cell>
          <cell r="G155">
            <v>0.34799999999999998</v>
          </cell>
          <cell r="I155">
            <v>7.3899999999999993E-2</v>
          </cell>
        </row>
        <row r="156">
          <cell r="B156" t="str">
            <v>CY-60</v>
          </cell>
          <cell r="C156" t="str">
            <v>ESP</v>
          </cell>
          <cell r="D156">
            <v>44082</v>
          </cell>
          <cell r="E156">
            <v>0.52638888888888891</v>
          </cell>
          <cell r="F156">
            <v>5.0000000000000001E-3</v>
          </cell>
          <cell r="G156">
            <v>1.09E-2</v>
          </cell>
          <cell r="I156">
            <v>1.18E-2</v>
          </cell>
        </row>
        <row r="157">
          <cell r="B157" t="str">
            <v>CY-75</v>
          </cell>
          <cell r="C157" t="str">
            <v>ESP</v>
          </cell>
          <cell r="D157">
            <v>44082</v>
          </cell>
          <cell r="E157">
            <v>0.54305555555555551</v>
          </cell>
          <cell r="F157">
            <v>0.1361</v>
          </cell>
          <cell r="G157">
            <v>7.46E-2</v>
          </cell>
          <cell r="I157">
            <v>4.0500000000000001E-2</v>
          </cell>
        </row>
        <row r="158">
          <cell r="B158" t="str">
            <v>CY-82</v>
          </cell>
          <cell r="C158" t="str">
            <v>ESP</v>
          </cell>
          <cell r="D158">
            <v>44083</v>
          </cell>
          <cell r="E158">
            <v>0.37083333333333335</v>
          </cell>
          <cell r="F158">
            <v>9.4999999999999998E-3</v>
          </cell>
          <cell r="G158">
            <v>5.7000000000000002E-3</v>
          </cell>
          <cell r="I158">
            <v>3.2300000000000002E-2</v>
          </cell>
        </row>
        <row r="159">
          <cell r="B159" t="str">
            <v>CY-10</v>
          </cell>
          <cell r="C159" t="str">
            <v>ESP</v>
          </cell>
          <cell r="D159">
            <v>44083</v>
          </cell>
          <cell r="E159">
            <v>0.36458333333333331</v>
          </cell>
          <cell r="F159">
            <v>1.7999999999999999E-2</v>
          </cell>
          <cell r="G159">
            <v>7.4999999999999997E-3</v>
          </cell>
          <cell r="I159">
            <v>1.5800000000000002E-2</v>
          </cell>
        </row>
        <row r="160">
          <cell r="B160" t="str">
            <v>CY-25</v>
          </cell>
          <cell r="C160" t="str">
            <v>ESP</v>
          </cell>
          <cell r="D160">
            <v>44083</v>
          </cell>
          <cell r="E160">
            <v>0.37708333333333338</v>
          </cell>
          <cell r="F160">
            <v>1.1299999999999999E-2</v>
          </cell>
          <cell r="G160">
            <v>5.3E-3</v>
          </cell>
          <cell r="I160">
            <v>6.1999999999999998E-3</v>
          </cell>
        </row>
        <row r="161">
          <cell r="B161" t="str">
            <v>MN-49</v>
          </cell>
          <cell r="C161" t="str">
            <v>ESP</v>
          </cell>
          <cell r="D161">
            <v>44083</v>
          </cell>
          <cell r="E161">
            <v>0.55208333333333337</v>
          </cell>
          <cell r="F161">
            <v>1.15E-2</v>
          </cell>
          <cell r="G161">
            <v>6.7000000000000002E-3</v>
          </cell>
          <cell r="I161">
            <v>1.5100000000000001E-2</v>
          </cell>
        </row>
        <row r="162">
          <cell r="B162" t="str">
            <v>CY-41</v>
          </cell>
          <cell r="C162" t="str">
            <v>ESP</v>
          </cell>
          <cell r="D162">
            <v>44083</v>
          </cell>
          <cell r="E162">
            <v>0.55902777777777779</v>
          </cell>
          <cell r="F162">
            <v>5.3199999999999997E-2</v>
          </cell>
          <cell r="G162">
            <v>0.19239999999999999</v>
          </cell>
          <cell r="I162">
            <v>0.1341</v>
          </cell>
        </row>
        <row r="163">
          <cell r="B163" t="str">
            <v>CY-49</v>
          </cell>
          <cell r="C163" t="str">
            <v>ESP</v>
          </cell>
          <cell r="D163">
            <v>44083</v>
          </cell>
          <cell r="E163">
            <v>0.56458333333333333</v>
          </cell>
          <cell r="F163">
            <v>2.5999999999999999E-2</v>
          </cell>
          <cell r="G163">
            <v>5.8799999999999998E-2</v>
          </cell>
          <cell r="I163">
            <v>4.4699999999999997E-2</v>
          </cell>
        </row>
        <row r="164">
          <cell r="B164" t="str">
            <v>MN-27</v>
          </cell>
          <cell r="C164" t="str">
            <v>ESP</v>
          </cell>
          <cell r="D164">
            <v>44084</v>
          </cell>
          <cell r="E164">
            <v>0.35555555555555557</v>
          </cell>
          <cell r="F164">
            <v>1.9900000000000001E-2</v>
          </cell>
          <cell r="G164">
            <v>2.4500000000000001E-2</v>
          </cell>
          <cell r="I164">
            <v>0.2273</v>
          </cell>
        </row>
        <row r="165">
          <cell r="B165" t="str">
            <v>CY-94</v>
          </cell>
          <cell r="C165" t="str">
            <v>ESP</v>
          </cell>
          <cell r="D165">
            <v>44084</v>
          </cell>
          <cell r="E165">
            <v>0.3666666666666667</v>
          </cell>
          <cell r="F165">
            <v>4.8899999999999999E-2</v>
          </cell>
          <cell r="G165">
            <v>0.1023</v>
          </cell>
          <cell r="I165">
            <v>4.2299999999999997E-2</v>
          </cell>
        </row>
        <row r="166">
          <cell r="B166" t="str">
            <v>LY-184</v>
          </cell>
          <cell r="C166" t="str">
            <v>ESP</v>
          </cell>
          <cell r="D166">
            <v>44084</v>
          </cell>
          <cell r="E166">
            <v>0.37361111111111112</v>
          </cell>
          <cell r="F166">
            <v>4.07E-2</v>
          </cell>
          <cell r="G166">
            <v>1.24E-2</v>
          </cell>
          <cell r="I166">
            <v>1.6799999999999999E-2</v>
          </cell>
        </row>
        <row r="167">
          <cell r="B167" t="str">
            <v>LY-75</v>
          </cell>
          <cell r="C167" t="str">
            <v>ESP</v>
          </cell>
          <cell r="D167">
            <v>44084</v>
          </cell>
          <cell r="E167">
            <v>0.56041666666666667</v>
          </cell>
          <cell r="F167">
            <v>2.4400000000000002E-2</v>
          </cell>
          <cell r="G167">
            <v>5.0000000000000001E-3</v>
          </cell>
          <cell r="I167">
            <v>5.3E-3</v>
          </cell>
        </row>
        <row r="168">
          <cell r="B168" t="str">
            <v>CY-83</v>
          </cell>
          <cell r="C168" t="str">
            <v>ESP</v>
          </cell>
          <cell r="D168">
            <v>44084</v>
          </cell>
          <cell r="E168">
            <v>0.54722222222222217</v>
          </cell>
          <cell r="F168">
            <v>1.06E-2</v>
          </cell>
          <cell r="G168">
            <v>2.5999999999999999E-2</v>
          </cell>
          <cell r="I168">
            <v>1.1900000000000001E-2</v>
          </cell>
        </row>
        <row r="169">
          <cell r="B169" t="str">
            <v>LY-70</v>
          </cell>
          <cell r="C169" t="str">
            <v>ESP</v>
          </cell>
          <cell r="D169">
            <v>44084</v>
          </cell>
          <cell r="E169">
            <v>0.55486111111111114</v>
          </cell>
          <cell r="F169">
            <v>1.8800000000000001E-2</v>
          </cell>
          <cell r="G169">
            <v>1.23E-2</v>
          </cell>
          <cell r="I169">
            <v>0.1113</v>
          </cell>
        </row>
        <row r="170">
          <cell r="B170" t="str">
            <v>LY-35</v>
          </cell>
          <cell r="C170" t="str">
            <v>ESP</v>
          </cell>
          <cell r="D170">
            <v>44085</v>
          </cell>
          <cell r="E170">
            <v>0.32430555555555557</v>
          </cell>
          <cell r="F170">
            <v>1.8E-3</v>
          </cell>
          <cell r="G170">
            <v>1.1299999999999999E-2</v>
          </cell>
          <cell r="I170">
            <v>0.1105</v>
          </cell>
        </row>
        <row r="171">
          <cell r="B171" t="str">
            <v>LY-106</v>
          </cell>
          <cell r="C171" t="str">
            <v>ESP</v>
          </cell>
          <cell r="D171">
            <v>44085</v>
          </cell>
          <cell r="E171">
            <v>0.37222222222222223</v>
          </cell>
          <cell r="F171">
            <v>3.5000000000000001E-3</v>
          </cell>
          <cell r="G171">
            <v>3.0000000000000001E-3</v>
          </cell>
          <cell r="I171">
            <v>3.7000000000000002E-3</v>
          </cell>
        </row>
        <row r="172">
          <cell r="B172" t="str">
            <v>CY-53</v>
          </cell>
          <cell r="C172" t="str">
            <v>ESP</v>
          </cell>
          <cell r="D172">
            <v>44085</v>
          </cell>
          <cell r="E172">
            <v>0.3666666666666667</v>
          </cell>
          <cell r="F172">
            <v>2.8E-3</v>
          </cell>
          <cell r="G172">
            <v>6.4000000000000003E-3</v>
          </cell>
          <cell r="I172">
            <v>6.6E-3</v>
          </cell>
        </row>
        <row r="173">
          <cell r="B173" t="str">
            <v>LY-55</v>
          </cell>
          <cell r="C173" t="str">
            <v>ESP</v>
          </cell>
          <cell r="D173">
            <v>44085</v>
          </cell>
          <cell r="E173">
            <v>0.37638888888888888</v>
          </cell>
          <cell r="F173">
            <v>1E-3</v>
          </cell>
          <cell r="G173">
            <v>2.5999999999999999E-3</v>
          </cell>
          <cell r="I173">
            <v>1.46E-2</v>
          </cell>
        </row>
        <row r="174">
          <cell r="B174" t="str">
            <v>LY-277</v>
          </cell>
          <cell r="C174" t="str">
            <v>BM</v>
          </cell>
          <cell r="D174">
            <v>44085</v>
          </cell>
          <cell r="E174">
            <v>0.55833333333333335</v>
          </cell>
          <cell r="F174">
            <v>0.1191</v>
          </cell>
          <cell r="G174">
            <v>0.80800000000000005</v>
          </cell>
          <cell r="I174">
            <v>0.1013</v>
          </cell>
        </row>
        <row r="175">
          <cell r="B175" t="str">
            <v>LY-259</v>
          </cell>
          <cell r="C175" t="str">
            <v>ESP</v>
          </cell>
          <cell r="D175">
            <v>44085</v>
          </cell>
          <cell r="E175">
            <v>0.54999999999999993</v>
          </cell>
          <cell r="F175">
            <v>3.56E-2</v>
          </cell>
          <cell r="G175">
            <v>0.1188</v>
          </cell>
          <cell r="I175">
            <v>1.0347</v>
          </cell>
        </row>
        <row r="176">
          <cell r="B176" t="str">
            <v>LY-064</v>
          </cell>
          <cell r="C176" t="str">
            <v>ESP</v>
          </cell>
          <cell r="D176">
            <v>44091</v>
          </cell>
          <cell r="E176">
            <v>0.3666666666666667</v>
          </cell>
          <cell r="F176">
            <v>6.3E-3</v>
          </cell>
          <cell r="G176">
            <v>8.8000000000000005E-3</v>
          </cell>
          <cell r="I176">
            <v>1.32E-2</v>
          </cell>
        </row>
        <row r="177">
          <cell r="B177" t="str">
            <v>LY-194</v>
          </cell>
          <cell r="C177" t="str">
            <v>ESP</v>
          </cell>
          <cell r="D177">
            <v>44091</v>
          </cell>
          <cell r="E177">
            <v>0.3756944444444445</v>
          </cell>
          <cell r="F177">
            <v>2E-3</v>
          </cell>
          <cell r="G177">
            <v>4.3E-3</v>
          </cell>
          <cell r="I177">
            <v>8.0000000000000002E-3</v>
          </cell>
        </row>
        <row r="178">
          <cell r="B178" t="str">
            <v>LY-119</v>
          </cell>
          <cell r="C178" t="str">
            <v>ESP</v>
          </cell>
          <cell r="D178">
            <v>44091</v>
          </cell>
          <cell r="E178">
            <v>0.55069444444444449</v>
          </cell>
          <cell r="F178">
            <v>9.9000000000000008E-3</v>
          </cell>
          <cell r="G178">
            <v>1.3100000000000001E-2</v>
          </cell>
          <cell r="I178">
            <v>4.3799999999999999E-2</v>
          </cell>
        </row>
        <row r="179">
          <cell r="B179" t="str">
            <v>LY-266</v>
          </cell>
          <cell r="C179" t="str">
            <v>ESP</v>
          </cell>
          <cell r="D179">
            <v>44091</v>
          </cell>
          <cell r="E179">
            <v>0.56041666666666667</v>
          </cell>
          <cell r="F179">
            <v>2.8999999999999998E-3</v>
          </cell>
          <cell r="G179">
            <v>5.5999999999999999E-3</v>
          </cell>
          <cell r="I179">
            <v>5.6399999999999999E-2</v>
          </cell>
        </row>
        <row r="180">
          <cell r="B180" t="str">
            <v>LY-140</v>
          </cell>
          <cell r="C180" t="str">
            <v>ESP</v>
          </cell>
          <cell r="D180">
            <v>44092</v>
          </cell>
          <cell r="E180">
            <v>0.35972222222222222</v>
          </cell>
          <cell r="F180">
            <v>1E-3</v>
          </cell>
          <cell r="G180">
            <v>2.3999999999999998E-3</v>
          </cell>
          <cell r="I180">
            <v>6.8999999999999999E-3</v>
          </cell>
        </row>
        <row r="181">
          <cell r="B181" t="str">
            <v>LY-202</v>
          </cell>
          <cell r="C181" t="str">
            <v>ESP</v>
          </cell>
          <cell r="D181">
            <v>44092</v>
          </cell>
          <cell r="E181">
            <v>0.3520833333333333</v>
          </cell>
          <cell r="F181">
            <v>2.8299999999999999E-2</v>
          </cell>
          <cell r="G181">
            <v>2.47E-2</v>
          </cell>
          <cell r="I181">
            <v>2.52E-2</v>
          </cell>
        </row>
        <row r="182">
          <cell r="B182" t="str">
            <v>LY-146</v>
          </cell>
          <cell r="C182" t="str">
            <v>ESP</v>
          </cell>
          <cell r="D182">
            <v>44092</v>
          </cell>
          <cell r="E182">
            <v>0.54513888888888895</v>
          </cell>
          <cell r="F182">
            <v>3.2000000000000002E-3</v>
          </cell>
          <cell r="G182">
            <v>1.6000000000000001E-3</v>
          </cell>
          <cell r="I182">
            <v>1.4500000000000001E-2</v>
          </cell>
        </row>
        <row r="183">
          <cell r="B183" t="str">
            <v>LY-162</v>
          </cell>
          <cell r="C183" t="str">
            <v>ESP</v>
          </cell>
          <cell r="D183">
            <v>44092</v>
          </cell>
          <cell r="E183">
            <v>0.55694444444444446</v>
          </cell>
          <cell r="F183">
            <v>2E-3</v>
          </cell>
          <cell r="G183">
            <v>1E-3</v>
          </cell>
          <cell r="I183">
            <v>3.7000000000000002E-3</v>
          </cell>
        </row>
        <row r="184">
          <cell r="B184" t="str">
            <v>LY-172</v>
          </cell>
          <cell r="C184" t="str">
            <v>ESP</v>
          </cell>
          <cell r="D184">
            <v>44095</v>
          </cell>
          <cell r="E184">
            <v>0.3833333333333333</v>
          </cell>
          <cell r="F184">
            <v>3.8E-3</v>
          </cell>
          <cell r="G184">
            <v>3.0999999999999999E-3</v>
          </cell>
          <cell r="I184">
            <v>2.3999999999999998E-3</v>
          </cell>
        </row>
        <row r="185">
          <cell r="B185" t="str">
            <v>LY-259</v>
          </cell>
          <cell r="C185" t="str">
            <v>ESP</v>
          </cell>
          <cell r="D185">
            <v>44095</v>
          </cell>
          <cell r="E185">
            <v>0.3923611111111111</v>
          </cell>
          <cell r="F185">
            <v>1.04E-2</v>
          </cell>
          <cell r="G185">
            <v>5.8999999999999999E-3</v>
          </cell>
          <cell r="I185">
            <v>1.41E-2</v>
          </cell>
        </row>
        <row r="186">
          <cell r="B186" t="str">
            <v>LY-174</v>
          </cell>
          <cell r="C186" t="str">
            <v>ESP</v>
          </cell>
          <cell r="D186">
            <v>44095</v>
          </cell>
          <cell r="E186">
            <v>0.58194444444444449</v>
          </cell>
          <cell r="F186">
            <v>1.3899999999999999E-2</v>
          </cell>
          <cell r="G186">
            <v>1.5299999999999999E-2</v>
          </cell>
          <cell r="I186">
            <v>2.2200000000000001E-2</v>
          </cell>
        </row>
        <row r="187">
          <cell r="B187" t="str">
            <v>LY-150</v>
          </cell>
          <cell r="C187" t="str">
            <v>ESP</v>
          </cell>
          <cell r="D187">
            <v>44095</v>
          </cell>
          <cell r="E187">
            <v>0.5708333333333333</v>
          </cell>
          <cell r="F187">
            <v>2.2000000000000001E-3</v>
          </cell>
          <cell r="G187">
            <v>2.5000000000000001E-3</v>
          </cell>
          <cell r="I187">
            <v>4.7999999999999996E-3</v>
          </cell>
        </row>
        <row r="188">
          <cell r="B188" t="str">
            <v>LY-280</v>
          </cell>
          <cell r="C188" t="str">
            <v>ESP</v>
          </cell>
          <cell r="D188">
            <v>44096</v>
          </cell>
          <cell r="E188">
            <v>0.35555555555555557</v>
          </cell>
          <cell r="F188">
            <v>1.2E-2</v>
          </cell>
          <cell r="G188">
            <v>3.2199999999999999E-2</v>
          </cell>
          <cell r="I188">
            <v>4.2799999999999998E-2</v>
          </cell>
        </row>
        <row r="189">
          <cell r="B189" t="str">
            <v>LY-179</v>
          </cell>
          <cell r="C189" t="str">
            <v>ESP</v>
          </cell>
          <cell r="D189">
            <v>44096</v>
          </cell>
          <cell r="E189">
            <v>0.37152777777777773</v>
          </cell>
          <cell r="F189">
            <v>2.7099999999999999E-2</v>
          </cell>
          <cell r="G189">
            <v>1.6400000000000001E-2</v>
          </cell>
          <cell r="I189">
            <v>1.14E-2</v>
          </cell>
        </row>
        <row r="190">
          <cell r="B190" t="str">
            <v>LY-173</v>
          </cell>
          <cell r="C190" t="str">
            <v>ESP</v>
          </cell>
          <cell r="D190">
            <v>44096</v>
          </cell>
          <cell r="E190">
            <v>0.54583333333333328</v>
          </cell>
          <cell r="F190">
            <v>1.1000000000000001E-3</v>
          </cell>
          <cell r="G190">
            <v>1.4E-3</v>
          </cell>
          <cell r="I190">
            <v>1.6999999999999999E-3</v>
          </cell>
        </row>
        <row r="191">
          <cell r="B191" t="str">
            <v>LY-110</v>
          </cell>
          <cell r="C191" t="str">
            <v>ESP</v>
          </cell>
          <cell r="D191">
            <v>44096</v>
          </cell>
          <cell r="E191">
            <v>0.55277777777777781</v>
          </cell>
          <cell r="F191">
            <v>3.0999999999999999E-3</v>
          </cell>
          <cell r="G191">
            <v>1.2999999999999999E-3</v>
          </cell>
          <cell r="I191">
            <v>4.4000000000000003E-3</v>
          </cell>
        </row>
        <row r="192">
          <cell r="B192" t="str">
            <v>LY-246</v>
          </cell>
          <cell r="C192" t="str">
            <v>MB</v>
          </cell>
          <cell r="D192">
            <v>44097</v>
          </cell>
          <cell r="E192">
            <v>0.33888888888888885</v>
          </cell>
          <cell r="F192">
            <v>2.75E-2</v>
          </cell>
          <cell r="G192">
            <v>5.9400000000000001E-2</v>
          </cell>
          <cell r="I192">
            <v>6.3899999999999998E-2</v>
          </cell>
        </row>
        <row r="193">
          <cell r="B193" t="str">
            <v>LY-115</v>
          </cell>
          <cell r="C193" t="str">
            <v>ESP</v>
          </cell>
          <cell r="D193">
            <v>44097</v>
          </cell>
          <cell r="E193">
            <v>0.33124999999999999</v>
          </cell>
          <cell r="F193">
            <v>2.24E-2</v>
          </cell>
          <cell r="G193">
            <v>2.93E-2</v>
          </cell>
          <cell r="I193">
            <v>4.7899999999999998E-2</v>
          </cell>
        </row>
        <row r="194">
          <cell r="B194" t="str">
            <v>LY-141</v>
          </cell>
          <cell r="C194" t="str">
            <v>ESP</v>
          </cell>
          <cell r="D194">
            <v>44097</v>
          </cell>
          <cell r="E194">
            <v>0.53125</v>
          </cell>
          <cell r="F194">
            <v>2.0999999999999999E-3</v>
          </cell>
          <cell r="G194">
            <v>3.5000000000000001E-3</v>
          </cell>
          <cell r="I194">
            <v>2.8999999999999998E-3</v>
          </cell>
        </row>
        <row r="195">
          <cell r="B195" t="str">
            <v>LY-248</v>
          </cell>
          <cell r="C195" t="str">
            <v>ESP</v>
          </cell>
          <cell r="D195">
            <v>44097</v>
          </cell>
          <cell r="E195">
            <v>0.5541666666666667</v>
          </cell>
          <cell r="F195">
            <v>1.1999999999999999E-3</v>
          </cell>
          <cell r="G195">
            <v>3.0999999999999999E-3</v>
          </cell>
          <cell r="I195">
            <v>2.52E-2</v>
          </cell>
        </row>
        <row r="196">
          <cell r="B196" t="str">
            <v>LY-258</v>
          </cell>
          <cell r="C196" t="str">
            <v>ESP</v>
          </cell>
          <cell r="D196">
            <v>44098</v>
          </cell>
          <cell r="E196">
            <v>0.35416666666666669</v>
          </cell>
          <cell r="F196">
            <v>8.3000000000000001E-3</v>
          </cell>
          <cell r="G196">
            <v>1.9699999999999999E-2</v>
          </cell>
          <cell r="I196">
            <v>2.7199999999999998E-2</v>
          </cell>
        </row>
        <row r="197">
          <cell r="B197" t="str">
            <v>LY-125</v>
          </cell>
          <cell r="C197" t="str">
            <v>ESP</v>
          </cell>
          <cell r="D197">
            <v>44098</v>
          </cell>
          <cell r="E197">
            <v>0.32708333333333334</v>
          </cell>
          <cell r="F197">
            <v>1.12E-2</v>
          </cell>
          <cell r="G197">
            <v>2.18E-2</v>
          </cell>
          <cell r="I197">
            <v>3.3700000000000001E-2</v>
          </cell>
        </row>
        <row r="198">
          <cell r="B198" t="str">
            <v>LY-220</v>
          </cell>
          <cell r="C198" t="str">
            <v>ESP</v>
          </cell>
          <cell r="D198">
            <v>44098</v>
          </cell>
          <cell r="E198">
            <v>0.57638888888888895</v>
          </cell>
          <cell r="F198">
            <v>4.8500000000000001E-2</v>
          </cell>
          <cell r="G198">
            <v>2.58E-2</v>
          </cell>
          <cell r="I198">
            <v>1.6500000000000001E-2</v>
          </cell>
        </row>
        <row r="199">
          <cell r="B199" t="str">
            <v>LY-214</v>
          </cell>
          <cell r="C199" t="str">
            <v>ESP</v>
          </cell>
          <cell r="D199">
            <v>44098</v>
          </cell>
          <cell r="E199">
            <v>0.56319444444444444</v>
          </cell>
          <cell r="F199">
            <v>1.4E-3</v>
          </cell>
          <cell r="G199">
            <v>2E-3</v>
          </cell>
          <cell r="I199">
            <v>7.0000000000000001E-3</v>
          </cell>
        </row>
        <row r="200">
          <cell r="B200" t="str">
            <v>LY-131</v>
          </cell>
          <cell r="C200" t="str">
            <v>ESP</v>
          </cell>
          <cell r="D200">
            <v>44099</v>
          </cell>
          <cell r="E200">
            <v>0.33333333333333331</v>
          </cell>
          <cell r="F200">
            <v>1.7299999999999999E-2</v>
          </cell>
          <cell r="G200">
            <v>1.9800000000000002E-2</v>
          </cell>
          <cell r="I200">
            <v>1.8800000000000001E-2</v>
          </cell>
        </row>
        <row r="201">
          <cell r="B201" t="str">
            <v>LY-100</v>
          </cell>
          <cell r="C201" t="str">
            <v>ESP</v>
          </cell>
          <cell r="D201">
            <v>44099</v>
          </cell>
          <cell r="E201">
            <v>0.32291666666666669</v>
          </cell>
          <cell r="F201">
            <v>1.0500000000000001E-2</v>
          </cell>
          <cell r="G201">
            <v>2.2100000000000002E-2</v>
          </cell>
          <cell r="I201">
            <v>0.1268</v>
          </cell>
        </row>
        <row r="202">
          <cell r="B202" t="str">
            <v>LY-236</v>
          </cell>
          <cell r="C202" t="str">
            <v>ESP</v>
          </cell>
          <cell r="D202">
            <v>44099</v>
          </cell>
          <cell r="E202">
            <v>0.53819444444444442</v>
          </cell>
          <cell r="F202">
            <v>1.26E-2</v>
          </cell>
          <cell r="G202">
            <v>9.1999999999999998E-3</v>
          </cell>
          <cell r="I202">
            <v>2.2200000000000001E-2</v>
          </cell>
        </row>
        <row r="203">
          <cell r="B203" t="str">
            <v>LY-186</v>
          </cell>
          <cell r="C203" t="str">
            <v>ESP</v>
          </cell>
          <cell r="D203">
            <v>44099</v>
          </cell>
          <cell r="E203">
            <v>0.53125</v>
          </cell>
          <cell r="F203">
            <v>4.1999999999999997E-3</v>
          </cell>
          <cell r="G203">
            <v>4.0000000000000001E-3</v>
          </cell>
          <cell r="I203">
            <v>7.3000000000000001E-3</v>
          </cell>
        </row>
        <row r="204">
          <cell r="B204" t="str">
            <v>MN-40</v>
          </cell>
          <cell r="C204" t="str">
            <v>ESP</v>
          </cell>
          <cell r="D204">
            <v>44127</v>
          </cell>
          <cell r="E204">
            <v>0.38194444444444442</v>
          </cell>
          <cell r="F204">
            <v>4.0000000000000001E-3</v>
          </cell>
          <cell r="G204">
            <v>5.4000000000000003E-3</v>
          </cell>
          <cell r="I204">
            <v>8.3999999999999995E-3</v>
          </cell>
        </row>
        <row r="205">
          <cell r="B205" t="str">
            <v>MN-89</v>
          </cell>
          <cell r="C205" t="str">
            <v>ESP</v>
          </cell>
          <cell r="D205">
            <v>44127</v>
          </cell>
          <cell r="E205">
            <v>0.3979166666666667</v>
          </cell>
          <cell r="F205">
            <v>1.4E-2</v>
          </cell>
          <cell r="G205">
            <v>3.09E-2</v>
          </cell>
          <cell r="I205">
            <v>2.8899999999999999E-2</v>
          </cell>
        </row>
        <row r="206">
          <cell r="B206" t="str">
            <v>LY-223</v>
          </cell>
          <cell r="C206" t="str">
            <v>ESP</v>
          </cell>
          <cell r="D206">
            <v>44127</v>
          </cell>
          <cell r="E206">
            <v>0.55902777777777779</v>
          </cell>
          <cell r="F206">
            <v>3.8999999999999998E-3</v>
          </cell>
          <cell r="G206">
            <v>6.4999999999999997E-3</v>
          </cell>
          <cell r="I206">
            <v>1.0999999999999999E-2</v>
          </cell>
        </row>
        <row r="207">
          <cell r="B207" t="str">
            <v>MN-27</v>
          </cell>
          <cell r="C207" t="str">
            <v>ESP</v>
          </cell>
          <cell r="D207">
            <v>44127</v>
          </cell>
          <cell r="E207">
            <v>0.58680555555555558</v>
          </cell>
          <cell r="F207">
            <v>3.0000000000000001E-3</v>
          </cell>
          <cell r="G207">
            <v>1.15E-2</v>
          </cell>
          <cell r="I207">
            <v>9.0399999999999994E-2</v>
          </cell>
        </row>
        <row r="208">
          <cell r="B208" t="str">
            <v>LY-303</v>
          </cell>
          <cell r="C208" t="str">
            <v>ESP</v>
          </cell>
          <cell r="D208">
            <v>44130</v>
          </cell>
          <cell r="E208">
            <v>0.3576388888888889</v>
          </cell>
          <cell r="F208">
            <v>1.5599999999999999E-2</v>
          </cell>
          <cell r="G208">
            <v>2.0799999999999999E-2</v>
          </cell>
          <cell r="I208">
            <v>7.0000000000000007E-2</v>
          </cell>
        </row>
        <row r="209">
          <cell r="B209" t="str">
            <v>LY-070</v>
          </cell>
          <cell r="C209" t="str">
            <v>ESP</v>
          </cell>
          <cell r="D209">
            <v>44130</v>
          </cell>
          <cell r="E209">
            <v>0.36805555555555558</v>
          </cell>
          <cell r="F209">
            <v>2.2000000000000001E-3</v>
          </cell>
          <cell r="G209">
            <v>6.5000000000000002E-2</v>
          </cell>
          <cell r="I209">
            <v>0.30320000000000003</v>
          </cell>
        </row>
        <row r="210">
          <cell r="B210" t="str">
            <v>LY-027</v>
          </cell>
          <cell r="C210" t="str">
            <v>ESP</v>
          </cell>
          <cell r="D210">
            <v>44130</v>
          </cell>
          <cell r="E210">
            <v>0.54583333333333328</v>
          </cell>
          <cell r="F210">
            <v>6.8900000000000003E-2</v>
          </cell>
          <cell r="G210">
            <v>7.7600000000000002E-2</v>
          </cell>
          <cell r="I210">
            <v>0.60109999999999997</v>
          </cell>
        </row>
        <row r="211">
          <cell r="B211" t="str">
            <v>LY-242</v>
          </cell>
          <cell r="C211" t="str">
            <v>ESP</v>
          </cell>
          <cell r="D211">
            <v>44130</v>
          </cell>
          <cell r="E211">
            <v>0.56388888888888888</v>
          </cell>
          <cell r="F211">
            <v>5.3E-3</v>
          </cell>
          <cell r="G211">
            <v>1.43E-2</v>
          </cell>
          <cell r="I211">
            <v>4.8300000000000003E-2</v>
          </cell>
        </row>
        <row r="212">
          <cell r="B212" t="str">
            <v>LY-147</v>
          </cell>
          <cell r="C212" t="str">
            <v>ESP</v>
          </cell>
          <cell r="D212">
            <v>44131</v>
          </cell>
          <cell r="E212">
            <v>0.52083333333333337</v>
          </cell>
          <cell r="F212">
            <v>2.2499999999999999E-2</v>
          </cell>
          <cell r="G212">
            <v>9.5999999999999992E-3</v>
          </cell>
          <cell r="I212">
            <v>1.7899999999999999E-2</v>
          </cell>
        </row>
        <row r="213">
          <cell r="B213" t="str">
            <v>LY-296</v>
          </cell>
          <cell r="C213" t="str">
            <v>ESP</v>
          </cell>
          <cell r="D213">
            <v>44131</v>
          </cell>
          <cell r="E213">
            <v>0.5395833333333333</v>
          </cell>
          <cell r="F213">
            <v>1.9400000000000001E-2</v>
          </cell>
          <cell r="G213">
            <v>1.9300000000000001E-2</v>
          </cell>
          <cell r="I213">
            <v>9.6199999999999994E-2</v>
          </cell>
        </row>
        <row r="214">
          <cell r="B214" t="str">
            <v>LY-219</v>
          </cell>
          <cell r="C214" t="str">
            <v>ESP</v>
          </cell>
          <cell r="D214">
            <v>44132</v>
          </cell>
          <cell r="E214">
            <v>0.38055555555555554</v>
          </cell>
          <cell r="F214">
            <v>4.7999999999999996E-3</v>
          </cell>
          <cell r="G214">
            <v>3.0000000000000001E-3</v>
          </cell>
          <cell r="I214">
            <v>1.5E-3</v>
          </cell>
        </row>
        <row r="215">
          <cell r="B215" t="str">
            <v>CL-06</v>
          </cell>
          <cell r="C215" t="str">
            <v>ESP</v>
          </cell>
          <cell r="D215">
            <v>44132</v>
          </cell>
          <cell r="E215">
            <v>0.39444444444444443</v>
          </cell>
          <cell r="F215">
            <v>2.3999999999999998E-3</v>
          </cell>
          <cell r="G215">
            <v>8.8999999999999999E-3</v>
          </cell>
          <cell r="I215">
            <v>1.03E-2</v>
          </cell>
        </row>
        <row r="216">
          <cell r="B216" t="str">
            <v>LY-059</v>
          </cell>
          <cell r="C216" t="str">
            <v>ESP</v>
          </cell>
          <cell r="D216">
            <v>44132</v>
          </cell>
          <cell r="E216">
            <v>0.57638888888888895</v>
          </cell>
          <cell r="F216">
            <v>2.3E-3</v>
          </cell>
          <cell r="G216">
            <v>3.0999999999999999E-3</v>
          </cell>
          <cell r="I216">
            <v>5.1999999999999998E-3</v>
          </cell>
        </row>
        <row r="217">
          <cell r="B217" t="str">
            <v>LY-289</v>
          </cell>
          <cell r="C217" t="str">
            <v>ESP</v>
          </cell>
          <cell r="D217">
            <v>44132</v>
          </cell>
          <cell r="E217">
            <v>0.58750000000000002</v>
          </cell>
          <cell r="F217">
            <v>1.5E-3</v>
          </cell>
          <cell r="G217">
            <v>3.3E-3</v>
          </cell>
          <cell r="I217">
            <v>1.89E-2</v>
          </cell>
        </row>
        <row r="218">
          <cell r="B218" t="str">
            <v>CY-41</v>
          </cell>
          <cell r="C218" t="str">
            <v>ESP</v>
          </cell>
          <cell r="D218">
            <v>44133</v>
          </cell>
          <cell r="E218">
            <v>0.36527777777777781</v>
          </cell>
          <cell r="F218">
            <v>1.9699999999999999E-2</v>
          </cell>
          <cell r="G218">
            <v>1.72E-2</v>
          </cell>
          <cell r="I218">
            <v>9.5999999999999992E-3</v>
          </cell>
        </row>
        <row r="219">
          <cell r="B219" t="str">
            <v>LY-275</v>
          </cell>
          <cell r="C219" t="str">
            <v>ESP</v>
          </cell>
          <cell r="D219">
            <v>44133</v>
          </cell>
          <cell r="E219">
            <v>0.38263888888888892</v>
          </cell>
          <cell r="F219">
            <v>1.18E-2</v>
          </cell>
          <cell r="G219">
            <v>1.29E-2</v>
          </cell>
          <cell r="I219">
            <v>2.6700000000000002E-2</v>
          </cell>
        </row>
        <row r="220">
          <cell r="B220" t="str">
            <v>MN-96</v>
          </cell>
          <cell r="C220" t="str">
            <v>BM</v>
          </cell>
          <cell r="D220">
            <v>44133</v>
          </cell>
          <cell r="E220">
            <v>0.57847222222222217</v>
          </cell>
          <cell r="F220">
            <v>6.6E-3</v>
          </cell>
          <cell r="G220">
            <v>1.95E-2</v>
          </cell>
          <cell r="I220">
            <v>1.41E-2</v>
          </cell>
        </row>
        <row r="221">
          <cell r="B221" t="str">
            <v>LY-202</v>
          </cell>
          <cell r="C221" t="str">
            <v>ESP</v>
          </cell>
          <cell r="D221">
            <v>44133</v>
          </cell>
          <cell r="E221">
            <v>0.54375000000000007</v>
          </cell>
          <cell r="F221">
            <v>2.8299999999999999E-2</v>
          </cell>
          <cell r="G221">
            <v>5.7999999999999996E-3</v>
          </cell>
          <cell r="I221">
            <v>1.5800000000000002E-2</v>
          </cell>
        </row>
        <row r="222">
          <cell r="B222" t="str">
            <v>CY-32</v>
          </cell>
          <cell r="C222" t="str">
            <v>ESP</v>
          </cell>
          <cell r="D222">
            <v>44134</v>
          </cell>
          <cell r="E222">
            <v>0.41319444444444442</v>
          </cell>
          <cell r="F222">
            <v>4.7999999999999996E-3</v>
          </cell>
          <cell r="G222">
            <v>9.7999999999999997E-3</v>
          </cell>
          <cell r="I222">
            <v>1.2699999999999999E-2</v>
          </cell>
        </row>
        <row r="223">
          <cell r="B223" t="str">
            <v>LY-274</v>
          </cell>
          <cell r="C223" t="str">
            <v>ESP</v>
          </cell>
          <cell r="D223">
            <v>44134</v>
          </cell>
          <cell r="E223">
            <v>0.38194444444444442</v>
          </cell>
          <cell r="F223">
            <v>6.0000000000000001E-3</v>
          </cell>
          <cell r="G223">
            <v>1.5299999999999999E-2</v>
          </cell>
          <cell r="I223">
            <v>1.66E-2</v>
          </cell>
        </row>
        <row r="224">
          <cell r="B224" t="str">
            <v>CH-24</v>
          </cell>
          <cell r="C224" t="str">
            <v>ESP</v>
          </cell>
          <cell r="D224">
            <v>44138</v>
          </cell>
          <cell r="E224">
            <v>0.39930555555555558</v>
          </cell>
          <cell r="F224">
            <v>9.7000000000000003E-3</v>
          </cell>
          <cell r="G224">
            <v>8.5000000000000006E-3</v>
          </cell>
          <cell r="I224">
            <v>4.6399999999999997E-2</v>
          </cell>
        </row>
        <row r="225">
          <cell r="B225" t="str">
            <v>Muestra No.2</v>
          </cell>
          <cell r="D225">
            <v>44139</v>
          </cell>
          <cell r="E225">
            <v>0.37361111111111112</v>
          </cell>
          <cell r="F225">
            <v>5.8999999999999999E-3</v>
          </cell>
          <cell r="G225">
            <v>5.3E-3</v>
          </cell>
          <cell r="I225">
            <v>2.53E-2</v>
          </cell>
        </row>
        <row r="226">
          <cell r="B226" t="str">
            <v>CH-22</v>
          </cell>
          <cell r="C226" t="str">
            <v>ESP</v>
          </cell>
          <cell r="D226">
            <v>44138</v>
          </cell>
          <cell r="E226">
            <v>0.40208333333333335</v>
          </cell>
          <cell r="F226">
            <v>6.0000000000000001E-3</v>
          </cell>
          <cell r="G226">
            <v>1.21E-2</v>
          </cell>
          <cell r="I226">
            <v>2.18E-2</v>
          </cell>
        </row>
        <row r="227">
          <cell r="B227" t="str">
            <v>Muestra No.2</v>
          </cell>
          <cell r="D227">
            <v>44139</v>
          </cell>
          <cell r="E227">
            <v>0.37708333333333338</v>
          </cell>
          <cell r="F227">
            <v>0.04</v>
          </cell>
          <cell r="G227">
            <v>4.1000000000000002E-2</v>
          </cell>
          <cell r="I227">
            <v>7.85E-2</v>
          </cell>
        </row>
        <row r="228">
          <cell r="B228" t="str">
            <v>CV E-03</v>
          </cell>
          <cell r="C228" t="str">
            <v>ESP</v>
          </cell>
          <cell r="D228">
            <v>44139</v>
          </cell>
          <cell r="E228">
            <v>0.45694444444444443</v>
          </cell>
          <cell r="F228">
            <v>4.0000000000000001E-3</v>
          </cell>
          <cell r="G228">
            <v>5.7000000000000002E-3</v>
          </cell>
          <cell r="I228">
            <v>1.4E-2</v>
          </cell>
        </row>
        <row r="229">
          <cell r="B229" t="str">
            <v>CL-29</v>
          </cell>
          <cell r="C229" t="str">
            <v>ESP</v>
          </cell>
          <cell r="D229">
            <v>44139</v>
          </cell>
          <cell r="E229">
            <v>0.47569444444444442</v>
          </cell>
          <cell r="F229">
            <v>6.4000000000000003E-3</v>
          </cell>
          <cell r="G229">
            <v>1.15E-2</v>
          </cell>
          <cell r="I229">
            <v>1.5299999999999999E-2</v>
          </cell>
        </row>
        <row r="230">
          <cell r="B230" t="str">
            <v>JIB-01</v>
          </cell>
          <cell r="C230" t="str">
            <v>ESP</v>
          </cell>
          <cell r="D230">
            <v>44140</v>
          </cell>
          <cell r="E230">
            <v>0.3263888888888889</v>
          </cell>
          <cell r="F230">
            <v>1.2E-2</v>
          </cell>
          <cell r="G230">
            <v>1.0999999999999999E-2</v>
          </cell>
          <cell r="I230">
            <v>2.5499999999999998E-2</v>
          </cell>
        </row>
        <row r="231">
          <cell r="B231" t="str">
            <v>JIB-01</v>
          </cell>
          <cell r="C231" t="str">
            <v>ESP</v>
          </cell>
          <cell r="D231">
            <v>44141</v>
          </cell>
          <cell r="E231">
            <v>0.32291666666666669</v>
          </cell>
          <cell r="F231">
            <v>5.7999999999999996E-3</v>
          </cell>
          <cell r="G231">
            <v>6.4000000000000003E-3</v>
          </cell>
          <cell r="I231">
            <v>1.72E-2</v>
          </cell>
        </row>
        <row r="232">
          <cell r="B232" t="str">
            <v>JIB-06</v>
          </cell>
          <cell r="C232" t="str">
            <v>ESP</v>
          </cell>
          <cell r="D232">
            <v>44140</v>
          </cell>
          <cell r="E232">
            <v>0.33402777777777781</v>
          </cell>
          <cell r="F232">
            <v>2.3999999999999998E-3</v>
          </cell>
          <cell r="G232">
            <v>3.7000000000000002E-3</v>
          </cell>
          <cell r="I232">
            <v>3.5999999999999999E-3</v>
          </cell>
        </row>
        <row r="233">
          <cell r="B233" t="str">
            <v>JIB-06</v>
          </cell>
          <cell r="C233" t="str">
            <v>ESP</v>
          </cell>
          <cell r="D233">
            <v>44141</v>
          </cell>
          <cell r="E233">
            <v>0.32847222222222222</v>
          </cell>
          <cell r="F233">
            <v>1.1900000000000001E-2</v>
          </cell>
          <cell r="G233">
            <v>1.77E-2</v>
          </cell>
          <cell r="I233">
            <v>0.02</v>
          </cell>
        </row>
        <row r="234">
          <cell r="B234" t="str">
            <v>JIB-05</v>
          </cell>
          <cell r="C234" t="str">
            <v>ESP</v>
          </cell>
          <cell r="D234">
            <v>44142</v>
          </cell>
          <cell r="E234">
            <v>0.33749999999999997</v>
          </cell>
          <cell r="F234">
            <v>9.4000000000000004E-3</v>
          </cell>
          <cell r="G234">
            <v>4.4000000000000003E-3</v>
          </cell>
          <cell r="I234">
            <v>4.5999999999999999E-3</v>
          </cell>
        </row>
        <row r="235">
          <cell r="D235">
            <v>44143</v>
          </cell>
          <cell r="E235"/>
          <cell r="F235">
            <v>2.8E-3</v>
          </cell>
          <cell r="G235">
            <v>4.4999999999999997E-3</v>
          </cell>
          <cell r="I235">
            <v>1.03E-2</v>
          </cell>
        </row>
        <row r="236">
          <cell r="B236" t="str">
            <v>JIB-02A</v>
          </cell>
          <cell r="C236" t="str">
            <v>ESP</v>
          </cell>
          <cell r="D236">
            <v>44142</v>
          </cell>
          <cell r="E236">
            <v>0.34652777777777777</v>
          </cell>
          <cell r="F236">
            <v>2.3999999999999998E-3</v>
          </cell>
          <cell r="G236">
            <v>2.8E-3</v>
          </cell>
          <cell r="I236">
            <v>2.5999999999999999E-3</v>
          </cell>
        </row>
        <row r="237">
          <cell r="D237">
            <v>44143</v>
          </cell>
          <cell r="E237">
            <v>0.32291666666666669</v>
          </cell>
          <cell r="F237">
            <v>9.9000000000000008E-3</v>
          </cell>
          <cell r="G237">
            <v>1.01E-2</v>
          </cell>
          <cell r="I237">
            <v>2.6499999999999999E-2</v>
          </cell>
        </row>
        <row r="238">
          <cell r="B238" t="str">
            <v>JIB-10</v>
          </cell>
          <cell r="C238" t="str">
            <v>ESP</v>
          </cell>
          <cell r="D238">
            <v>44144</v>
          </cell>
          <cell r="E238">
            <v>0.3263888888888889</v>
          </cell>
          <cell r="F238">
            <v>3.2000000000000001E-2</v>
          </cell>
          <cell r="G238">
            <v>3.61E-2</v>
          </cell>
          <cell r="I238">
            <v>6.13E-2</v>
          </cell>
        </row>
        <row r="239">
          <cell r="D239">
            <v>44145</v>
          </cell>
          <cell r="E239">
            <v>0.31875000000000003</v>
          </cell>
          <cell r="F239">
            <v>6.6E-3</v>
          </cell>
          <cell r="G239">
            <v>1.2E-2</v>
          </cell>
          <cell r="I239">
            <v>2.1700000000000001E-2</v>
          </cell>
        </row>
        <row r="240">
          <cell r="B240" t="str">
            <v>JIB-02A</v>
          </cell>
          <cell r="C240" t="str">
            <v>ESP</v>
          </cell>
          <cell r="D240">
            <v>44144</v>
          </cell>
          <cell r="E240">
            <v>0.34930555555555554</v>
          </cell>
          <cell r="F240">
            <v>2.8400000000000002E-2</v>
          </cell>
          <cell r="G240">
            <v>9.5999999999999992E-3</v>
          </cell>
          <cell r="I240">
            <v>6.3E-3</v>
          </cell>
        </row>
        <row r="241">
          <cell r="D241">
            <v>44145</v>
          </cell>
          <cell r="E241">
            <v>0.32916666666666666</v>
          </cell>
          <cell r="F241">
            <v>8.2000000000000007E-3</v>
          </cell>
          <cell r="G241">
            <v>1.0200000000000001E-2</v>
          </cell>
          <cell r="I241">
            <v>7.0000000000000001E-3</v>
          </cell>
        </row>
        <row r="242">
          <cell r="B242" t="str">
            <v>LY-303</v>
          </cell>
          <cell r="C242" t="str">
            <v>ESP</v>
          </cell>
          <cell r="D242">
            <v>44145</v>
          </cell>
          <cell r="E242">
            <v>0.38472222222222219</v>
          </cell>
          <cell r="F242">
            <v>7.7200000000000005E-2</v>
          </cell>
          <cell r="G242">
            <v>9.4899999999999998E-2</v>
          </cell>
          <cell r="I242">
            <v>0.19089999999999999</v>
          </cell>
        </row>
        <row r="243">
          <cell r="D243">
            <v>44115</v>
          </cell>
          <cell r="E243">
            <v>0.3527777777777778</v>
          </cell>
          <cell r="F243">
            <v>5.1000000000000004E-3</v>
          </cell>
          <cell r="G243">
            <v>1.61E-2</v>
          </cell>
          <cell r="I243">
            <v>7.0400000000000004E-2</v>
          </cell>
        </row>
        <row r="244">
          <cell r="B244" t="str">
            <v>LY-217</v>
          </cell>
          <cell r="C244" t="str">
            <v>ESP</v>
          </cell>
          <cell r="D244">
            <v>44145</v>
          </cell>
          <cell r="E244">
            <v>0.4055555555555555</v>
          </cell>
          <cell r="F244">
            <v>9.1999999999999998E-3</v>
          </cell>
          <cell r="G244">
            <v>9.1000000000000004E-3</v>
          </cell>
          <cell r="I244">
            <v>1.49E-2</v>
          </cell>
        </row>
        <row r="245">
          <cell r="D245">
            <v>44115</v>
          </cell>
          <cell r="E245">
            <v>0.36805555555555558</v>
          </cell>
          <cell r="F245">
            <v>8.8000000000000005E-3</v>
          </cell>
          <cell r="G245">
            <v>1.1299999999999999E-2</v>
          </cell>
          <cell r="I245">
            <v>2.3099999999999999E-2</v>
          </cell>
        </row>
        <row r="246">
          <cell r="B246" t="str">
            <v>LY-175</v>
          </cell>
          <cell r="C246" t="str">
            <v>ESP</v>
          </cell>
          <cell r="D246">
            <v>44146</v>
          </cell>
          <cell r="E246">
            <v>0.40902777777777777</v>
          </cell>
          <cell r="F246">
            <v>3.4599999999999999E-2</v>
          </cell>
          <cell r="G246">
            <v>5.2699999999999997E-2</v>
          </cell>
          <cell r="I246">
            <v>3.2199999999999999E-2</v>
          </cell>
        </row>
        <row r="247">
          <cell r="D247">
            <v>44147</v>
          </cell>
          <cell r="E247">
            <v>0.37152777777777773</v>
          </cell>
          <cell r="F247">
            <v>7.1000000000000004E-3</v>
          </cell>
          <cell r="G247">
            <v>8.8999999999999999E-3</v>
          </cell>
          <cell r="I247">
            <v>4.1999999999999997E-3</v>
          </cell>
        </row>
        <row r="248">
          <cell r="B248" t="str">
            <v>LY-274</v>
          </cell>
          <cell r="C248" t="str">
            <v>ESP</v>
          </cell>
          <cell r="D248">
            <v>44146</v>
          </cell>
          <cell r="E248">
            <v>0.39374999999999999</v>
          </cell>
          <cell r="F248">
            <v>7.4000000000000003E-3</v>
          </cell>
          <cell r="G248">
            <v>1.11E-2</v>
          </cell>
          <cell r="I248">
            <v>3.1099999999999999E-2</v>
          </cell>
        </row>
        <row r="249">
          <cell r="D249">
            <v>44147</v>
          </cell>
          <cell r="E249">
            <v>0.38541666666666669</v>
          </cell>
          <cell r="F249">
            <v>1.6899999999999998E-2</v>
          </cell>
          <cell r="G249">
            <v>3.56E-2</v>
          </cell>
          <cell r="I249">
            <v>4.7800000000000002E-2</v>
          </cell>
        </row>
        <row r="250">
          <cell r="B250" t="str">
            <v>LY-201</v>
          </cell>
          <cell r="C250" t="str">
            <v>ESP</v>
          </cell>
          <cell r="D250">
            <v>44147</v>
          </cell>
          <cell r="E250">
            <v>0.42499999999999999</v>
          </cell>
          <cell r="F250">
            <v>9.2999999999999992E-3</v>
          </cell>
          <cell r="G250">
            <v>5.0999999999999997E-2</v>
          </cell>
          <cell r="I250">
            <v>2.5600000000000001E-2</v>
          </cell>
        </row>
        <row r="251">
          <cell r="D251">
            <v>44148</v>
          </cell>
          <cell r="E251">
            <v>0.3527777777777778</v>
          </cell>
          <cell r="F251">
            <v>2.7199999999999998E-2</v>
          </cell>
          <cell r="G251">
            <v>4.7399999999999998E-2</v>
          </cell>
          <cell r="I251">
            <v>5.0999999999999997E-2</v>
          </cell>
        </row>
        <row r="252">
          <cell r="B252" t="str">
            <v>LY-287</v>
          </cell>
          <cell r="C252" t="str">
            <v>ESP</v>
          </cell>
          <cell r="D252">
            <v>44147</v>
          </cell>
          <cell r="E252">
            <v>0.40972222222222227</v>
          </cell>
          <cell r="F252">
            <v>1.6999999999999999E-3</v>
          </cell>
          <cell r="G252">
            <v>6.1000000000000004E-3</v>
          </cell>
          <cell r="I252">
            <v>6.9199999999999998E-2</v>
          </cell>
        </row>
        <row r="253">
          <cell r="D253">
            <v>44148</v>
          </cell>
          <cell r="E253">
            <v>0.39652777777777781</v>
          </cell>
          <cell r="F253">
            <v>8.9999999999999993E-3</v>
          </cell>
          <cell r="G253">
            <v>1.8200000000000001E-2</v>
          </cell>
          <cell r="I253">
            <v>2.8E-3</v>
          </cell>
        </row>
        <row r="254">
          <cell r="B254" t="str">
            <v>MN-08</v>
          </cell>
          <cell r="C254" t="str">
            <v>ESP</v>
          </cell>
          <cell r="D254">
            <v>44148</v>
          </cell>
          <cell r="E254">
            <v>0.4201388888888889</v>
          </cell>
          <cell r="F254">
            <v>4.1999999999999997E-3</v>
          </cell>
          <cell r="G254">
            <v>1.46E-2</v>
          </cell>
          <cell r="I254">
            <v>5.6000000000000001E-2</v>
          </cell>
        </row>
        <row r="255">
          <cell r="D255">
            <v>44149</v>
          </cell>
          <cell r="E255">
            <v>0.33958333333333335</v>
          </cell>
          <cell r="F255">
            <v>0.40600000000000003</v>
          </cell>
          <cell r="G255">
            <v>0.17330000000000001</v>
          </cell>
          <cell r="I255">
            <v>0.1893</v>
          </cell>
        </row>
        <row r="256">
          <cell r="B256" t="str">
            <v>LY-257</v>
          </cell>
          <cell r="C256" t="str">
            <v>ESP</v>
          </cell>
          <cell r="D256">
            <v>44148</v>
          </cell>
          <cell r="E256">
            <v>0.39097222222222222</v>
          </cell>
          <cell r="F256">
            <v>4.1599999999999998E-2</v>
          </cell>
          <cell r="G256">
            <v>2.7E-2</v>
          </cell>
          <cell r="I256">
            <v>2.5000000000000001E-2</v>
          </cell>
        </row>
        <row r="257">
          <cell r="D257">
            <v>44149</v>
          </cell>
          <cell r="E257">
            <v>0.3215277777777778</v>
          </cell>
          <cell r="F257">
            <v>2.8299999999999999E-2</v>
          </cell>
          <cell r="G257">
            <v>5.0700000000000002E-2</v>
          </cell>
          <cell r="I257">
            <v>3.95E-2</v>
          </cell>
        </row>
        <row r="258">
          <cell r="B258" t="str">
            <v>LY-085</v>
          </cell>
          <cell r="C258" t="str">
            <v>ESP</v>
          </cell>
          <cell r="D258">
            <v>44152</v>
          </cell>
          <cell r="E258">
            <v>0.38750000000000001</v>
          </cell>
          <cell r="F258">
            <v>1.6799999999999999E-2</v>
          </cell>
          <cell r="G258">
            <v>5.21E-2</v>
          </cell>
          <cell r="I258">
            <v>8.1000000000000003E-2</v>
          </cell>
        </row>
        <row r="259">
          <cell r="B259" t="str">
            <v>CY-25</v>
          </cell>
          <cell r="C259" t="str">
            <v>ESP</v>
          </cell>
          <cell r="D259">
            <v>44152</v>
          </cell>
          <cell r="E259">
            <v>0.39930555555555558</v>
          </cell>
          <cell r="F259">
            <v>2.07E-2</v>
          </cell>
          <cell r="G259">
            <v>1.5100000000000001E-2</v>
          </cell>
          <cell r="I259">
            <v>1.4800000000000001E-2</v>
          </cell>
        </row>
        <row r="260">
          <cell r="B260" t="str">
            <v>CY-53</v>
          </cell>
          <cell r="C260" t="str">
            <v>ESP</v>
          </cell>
          <cell r="D260">
            <v>44152</v>
          </cell>
          <cell r="E260">
            <v>0.59513888888888888</v>
          </cell>
          <cell r="F260">
            <v>1.04E-2</v>
          </cell>
          <cell r="G260">
            <v>2.1499999999999998E-2</v>
          </cell>
          <cell r="I260">
            <v>1.7299999999999999E-2</v>
          </cell>
        </row>
        <row r="261">
          <cell r="B261" t="str">
            <v>LY-211</v>
          </cell>
          <cell r="C261" t="str">
            <v>ESP</v>
          </cell>
          <cell r="D261">
            <v>44152</v>
          </cell>
          <cell r="E261">
            <v>0.57430555555555551</v>
          </cell>
          <cell r="F261">
            <v>2.8E-3</v>
          </cell>
          <cell r="G261">
            <v>4.0000000000000001E-3</v>
          </cell>
          <cell r="I261">
            <v>1.9199999999999998E-2</v>
          </cell>
        </row>
        <row r="262">
          <cell r="B262" t="str">
            <v>MN-93</v>
          </cell>
          <cell r="C262" t="str">
            <v>ESP</v>
          </cell>
          <cell r="D262">
            <v>44153</v>
          </cell>
          <cell r="E262">
            <v>0.3347222222222222</v>
          </cell>
          <cell r="F262">
            <v>2.7199999999999998E-2</v>
          </cell>
          <cell r="G262">
            <v>3.9699999999999999E-2</v>
          </cell>
          <cell r="I262">
            <v>3.5400000000000001E-2</v>
          </cell>
        </row>
        <row r="263">
          <cell r="B263" t="str">
            <v>MN-59</v>
          </cell>
          <cell r="C263" t="str">
            <v>ESP</v>
          </cell>
          <cell r="D263">
            <v>44153</v>
          </cell>
          <cell r="E263">
            <v>0.3430555555555555</v>
          </cell>
          <cell r="F263">
            <v>2.2200000000000001E-2</v>
          </cell>
          <cell r="G263">
            <v>6.3600000000000004E-2</v>
          </cell>
          <cell r="I263">
            <v>0.11210000000000001</v>
          </cell>
        </row>
        <row r="264">
          <cell r="B264" t="str">
            <v>MN-65</v>
          </cell>
          <cell r="C264" t="str">
            <v>ESP</v>
          </cell>
          <cell r="D264">
            <v>44153</v>
          </cell>
          <cell r="E264">
            <v>0.5180555555555556</v>
          </cell>
          <cell r="F264">
            <v>2.3999999999999998E-3</v>
          </cell>
          <cell r="G264">
            <v>7.3000000000000001E-3</v>
          </cell>
          <cell r="I264">
            <v>1.4500000000000001E-2</v>
          </cell>
        </row>
        <row r="265">
          <cell r="B265" t="str">
            <v>MN-80</v>
          </cell>
          <cell r="C265" t="str">
            <v>ESP</v>
          </cell>
          <cell r="D265">
            <v>44153</v>
          </cell>
          <cell r="E265">
            <v>0.52708333333333335</v>
          </cell>
          <cell r="F265">
            <v>7.1999999999999998E-3</v>
          </cell>
          <cell r="G265">
            <v>1.4500000000000001E-2</v>
          </cell>
          <cell r="I265">
            <v>5.3800000000000001E-2</v>
          </cell>
        </row>
        <row r="266">
          <cell r="B266" t="str">
            <v>MN-21</v>
          </cell>
          <cell r="C266" t="str">
            <v>ESP</v>
          </cell>
          <cell r="D266">
            <v>44154</v>
          </cell>
          <cell r="E266">
            <v>0.34930555555555554</v>
          </cell>
          <cell r="F266">
            <v>3.8999999999999998E-3</v>
          </cell>
          <cell r="G266">
            <v>4.7000000000000002E-3</v>
          </cell>
          <cell r="I266">
            <v>2.5399999999999999E-2</v>
          </cell>
        </row>
        <row r="267">
          <cell r="B267" t="str">
            <v>MN-87ST</v>
          </cell>
          <cell r="C267" t="str">
            <v>ESP</v>
          </cell>
          <cell r="D267">
            <v>44154</v>
          </cell>
          <cell r="E267">
            <v>0.36458333333333331</v>
          </cell>
          <cell r="F267">
            <v>3.3E-3</v>
          </cell>
          <cell r="G267">
            <v>7.6E-3</v>
          </cell>
          <cell r="I267">
            <v>2.5700000000000001E-2</v>
          </cell>
        </row>
        <row r="268">
          <cell r="B268" t="str">
            <v>MN-75</v>
          </cell>
          <cell r="C268" t="str">
            <v>ESP</v>
          </cell>
          <cell r="D268">
            <v>44154</v>
          </cell>
          <cell r="E268">
            <v>0.53819444444444442</v>
          </cell>
          <cell r="F268">
            <v>2.3999999999999998E-3</v>
          </cell>
          <cell r="G268">
            <v>4.4999999999999997E-3</v>
          </cell>
          <cell r="I268">
            <v>1.9E-2</v>
          </cell>
        </row>
        <row r="269">
          <cell r="B269" t="str">
            <v>MN-41</v>
          </cell>
          <cell r="C269" t="str">
            <v>ESP</v>
          </cell>
          <cell r="D269">
            <v>44154</v>
          </cell>
          <cell r="E269">
            <v>0.52361111111111114</v>
          </cell>
          <cell r="F269">
            <v>6.0000000000000001E-3</v>
          </cell>
          <cell r="G269">
            <v>6.4000000000000003E-3</v>
          </cell>
          <cell r="I269">
            <v>1.9400000000000001E-2</v>
          </cell>
        </row>
        <row r="270">
          <cell r="B270" t="str">
            <v>MN-29</v>
          </cell>
          <cell r="C270" t="str">
            <v>ESP</v>
          </cell>
          <cell r="D270">
            <v>44155</v>
          </cell>
          <cell r="E270">
            <v>0.35902777777777778</v>
          </cell>
          <cell r="F270">
            <v>6.4000000000000003E-3</v>
          </cell>
          <cell r="G270">
            <v>2.3300000000000001E-2</v>
          </cell>
          <cell r="I270">
            <v>0.10639999999999999</v>
          </cell>
        </row>
        <row r="271">
          <cell r="B271" t="str">
            <v>MN-43</v>
          </cell>
          <cell r="C271" t="str">
            <v>ESP</v>
          </cell>
          <cell r="D271">
            <v>44155</v>
          </cell>
          <cell r="E271">
            <v>0.3659722222222222</v>
          </cell>
          <cell r="F271">
            <v>3.0000000000000001E-3</v>
          </cell>
          <cell r="G271">
            <v>5.1000000000000004E-3</v>
          </cell>
          <cell r="I271">
            <v>1.1599999999999999E-2</v>
          </cell>
        </row>
        <row r="272">
          <cell r="B272" t="str">
            <v>MN-25</v>
          </cell>
          <cell r="C272" t="str">
            <v>ESP</v>
          </cell>
          <cell r="D272">
            <v>44155</v>
          </cell>
          <cell r="E272">
            <v>0.54652777777777783</v>
          </cell>
          <cell r="F272">
            <v>1.09E-2</v>
          </cell>
          <cell r="G272">
            <v>2.46E-2</v>
          </cell>
          <cell r="I272">
            <v>2.53E-2</v>
          </cell>
        </row>
        <row r="273">
          <cell r="B273" t="str">
            <v>MN-72</v>
          </cell>
          <cell r="C273" t="str">
            <v>ESP</v>
          </cell>
          <cell r="D273">
            <v>44155</v>
          </cell>
          <cell r="E273">
            <v>0.53888888888888886</v>
          </cell>
          <cell r="F273">
            <v>5.8999999999999999E-3</v>
          </cell>
          <cell r="G273">
            <v>3.8E-3</v>
          </cell>
          <cell r="I273">
            <v>8.6E-3</v>
          </cell>
        </row>
        <row r="274">
          <cell r="B274" t="str">
            <v>MN-57</v>
          </cell>
          <cell r="C274" t="str">
            <v>ESP</v>
          </cell>
          <cell r="D274">
            <v>44158</v>
          </cell>
          <cell r="E274">
            <v>0.32777777777777778</v>
          </cell>
          <cell r="F274">
            <v>1.66E-2</v>
          </cell>
          <cell r="G274">
            <v>2.2000000000000001E-3</v>
          </cell>
          <cell r="I274">
            <v>1.2500000000000001E-2</v>
          </cell>
        </row>
        <row r="275">
          <cell r="B275" t="str">
            <v>MN-63</v>
          </cell>
          <cell r="C275" t="str">
            <v>ESP</v>
          </cell>
          <cell r="D275">
            <v>44158</v>
          </cell>
          <cell r="E275">
            <v>0.33611111111111108</v>
          </cell>
          <cell r="F275">
            <v>3.15E-2</v>
          </cell>
          <cell r="G275">
            <v>1.17E-2</v>
          </cell>
          <cell r="I275">
            <v>1.01E-2</v>
          </cell>
        </row>
        <row r="276">
          <cell r="B276" t="str">
            <v>MN-27</v>
          </cell>
          <cell r="C276" t="str">
            <v>ESP</v>
          </cell>
          <cell r="D276">
            <v>44158</v>
          </cell>
          <cell r="E276">
            <v>0.52638888888888891</v>
          </cell>
          <cell r="F276">
            <v>9.9000000000000008E-3</v>
          </cell>
          <cell r="G276">
            <v>2.23E-2</v>
          </cell>
          <cell r="I276">
            <v>0.4849</v>
          </cell>
        </row>
        <row r="277">
          <cell r="B277" t="str">
            <v>MN-49</v>
          </cell>
          <cell r="C277" t="str">
            <v>ESP</v>
          </cell>
          <cell r="D277">
            <v>44158</v>
          </cell>
          <cell r="E277">
            <v>0.53333333333333333</v>
          </cell>
          <cell r="F277">
            <v>3.2000000000000002E-3</v>
          </cell>
          <cell r="G277">
            <v>1.21E-2</v>
          </cell>
          <cell r="I277">
            <v>2.0299999999999999E-2</v>
          </cell>
        </row>
        <row r="278">
          <cell r="B278" t="str">
            <v>MN-55</v>
          </cell>
          <cell r="C278" t="str">
            <v>ESP</v>
          </cell>
          <cell r="D278">
            <v>44159</v>
          </cell>
          <cell r="E278">
            <v>0.35486111111111113</v>
          </cell>
          <cell r="F278">
            <v>5.0000000000000001E-3</v>
          </cell>
          <cell r="G278">
            <v>3.3E-3</v>
          </cell>
          <cell r="I278">
            <v>7.1999999999999998E-3</v>
          </cell>
        </row>
        <row r="279">
          <cell r="B279" t="str">
            <v>MN-56</v>
          </cell>
          <cell r="C279" t="str">
            <v>ESP</v>
          </cell>
          <cell r="D279">
            <v>44159</v>
          </cell>
          <cell r="E279">
            <v>0.3611111111111111</v>
          </cell>
          <cell r="F279">
            <v>3.7000000000000002E-3</v>
          </cell>
          <cell r="G279">
            <v>2.7000000000000001E-3</v>
          </cell>
          <cell r="I279">
            <v>4.4999999999999997E-3</v>
          </cell>
        </row>
        <row r="280">
          <cell r="B280" t="str">
            <v>MN-66</v>
          </cell>
          <cell r="C280" t="str">
            <v>ESP</v>
          </cell>
          <cell r="D280">
            <v>44159</v>
          </cell>
          <cell r="E280">
            <v>0.60833333333333328</v>
          </cell>
          <cell r="F280">
            <v>2.5999999999999999E-3</v>
          </cell>
          <cell r="G280">
            <v>9.4000000000000004E-3</v>
          </cell>
          <cell r="I280">
            <v>1.46E-2</v>
          </cell>
        </row>
        <row r="281">
          <cell r="B281" t="str">
            <v>MN-78</v>
          </cell>
          <cell r="C281" t="str">
            <v>ESP</v>
          </cell>
          <cell r="D281">
            <v>44159</v>
          </cell>
          <cell r="E281">
            <v>0.60069444444444442</v>
          </cell>
          <cell r="F281">
            <v>3.3E-3</v>
          </cell>
          <cell r="G281">
            <v>5.7000000000000002E-3</v>
          </cell>
          <cell r="I281">
            <v>1.44E-2</v>
          </cell>
        </row>
        <row r="282">
          <cell r="B282" t="str">
            <v>CH-03</v>
          </cell>
          <cell r="C282" t="str">
            <v>ESP</v>
          </cell>
          <cell r="D282">
            <v>44160</v>
          </cell>
          <cell r="E282">
            <v>0.40347222222222223</v>
          </cell>
          <cell r="F282">
            <v>0.122</v>
          </cell>
          <cell r="G282">
            <v>0.1234</v>
          </cell>
          <cell r="I282">
            <v>0.2248</v>
          </cell>
        </row>
        <row r="283">
          <cell r="B283" t="str">
            <v>CH-04</v>
          </cell>
          <cell r="C283" t="str">
            <v>ESP</v>
          </cell>
          <cell r="D283">
            <v>44160</v>
          </cell>
          <cell r="E283">
            <v>0.4055555555555555</v>
          </cell>
          <cell r="F283">
            <v>9.6699999999999994E-2</v>
          </cell>
          <cell r="G283">
            <v>1.3299999999999999E-2</v>
          </cell>
          <cell r="I283">
            <v>0.05</v>
          </cell>
        </row>
        <row r="284">
          <cell r="B284" t="str">
            <v>CL-49</v>
          </cell>
          <cell r="C284" t="str">
            <v>ESP</v>
          </cell>
          <cell r="D284">
            <v>44169</v>
          </cell>
          <cell r="E284">
            <v>0.37291666666666662</v>
          </cell>
          <cell r="F284">
            <v>1.4E-3</v>
          </cell>
          <cell r="G284">
            <v>6.1999999999999998E-3</v>
          </cell>
          <cell r="I284">
            <v>5.3800000000000001E-2</v>
          </cell>
        </row>
        <row r="285">
          <cell r="B285" t="str">
            <v>CL-56</v>
          </cell>
          <cell r="C285" t="str">
            <v>ESP</v>
          </cell>
          <cell r="D285">
            <v>44169</v>
          </cell>
          <cell r="E285">
            <v>0.38611111111111113</v>
          </cell>
          <cell r="F285">
            <v>2.3E-3</v>
          </cell>
          <cell r="G285">
            <v>5.7000000000000002E-3</v>
          </cell>
          <cell r="I285">
            <v>1.4999999999999999E-2</v>
          </cell>
        </row>
        <row r="286">
          <cell r="B286" t="str">
            <v>CL-55</v>
          </cell>
          <cell r="C286" t="str">
            <v>ESP</v>
          </cell>
          <cell r="D286">
            <v>44169</v>
          </cell>
          <cell r="E286">
            <v>0.59722222222222221</v>
          </cell>
          <cell r="F286">
            <v>1.1900000000000001E-2</v>
          </cell>
          <cell r="G286">
            <v>5.9900000000000002E-2</v>
          </cell>
          <cell r="I286">
            <v>0.08</v>
          </cell>
        </row>
        <row r="287">
          <cell r="B287" t="str">
            <v>CL-51</v>
          </cell>
          <cell r="C287" t="str">
            <v>ESP</v>
          </cell>
          <cell r="D287">
            <v>44169</v>
          </cell>
          <cell r="E287">
            <v>0.6118055555555556</v>
          </cell>
          <cell r="F287">
            <v>3.3999999999999998E-3</v>
          </cell>
          <cell r="G287">
            <v>6.7999999999999996E-3</v>
          </cell>
          <cell r="I287">
            <v>3.27E-2</v>
          </cell>
        </row>
        <row r="288">
          <cell r="B288" t="str">
            <v>LY-32</v>
          </cell>
          <cell r="C288" t="str">
            <v>ESP</v>
          </cell>
          <cell r="D288">
            <v>44172</v>
          </cell>
          <cell r="E288">
            <v>0.33124999999999999</v>
          </cell>
          <cell r="F288">
            <v>4.4000000000000003E-3</v>
          </cell>
          <cell r="G288">
            <v>3.5000000000000001E-3</v>
          </cell>
          <cell r="I288">
            <v>1.26E-2</v>
          </cell>
        </row>
        <row r="289">
          <cell r="B289" t="str">
            <v>LY-35</v>
          </cell>
          <cell r="C289" t="str">
            <v>ESP</v>
          </cell>
          <cell r="D289">
            <v>44172</v>
          </cell>
          <cell r="E289">
            <v>0.34027777777777773</v>
          </cell>
          <cell r="F289">
            <v>8.0999999999999996E-3</v>
          </cell>
          <cell r="G289">
            <v>9.1000000000000004E-3</v>
          </cell>
          <cell r="I289">
            <v>3.0700000000000002E-2</v>
          </cell>
        </row>
        <row r="290">
          <cell r="B290" t="str">
            <v>LY-27</v>
          </cell>
          <cell r="C290" t="str">
            <v>ESP</v>
          </cell>
          <cell r="D290">
            <v>44172</v>
          </cell>
          <cell r="E290">
            <v>0.56180555555555556</v>
          </cell>
          <cell r="F290">
            <v>6.4899999999999999E-2</v>
          </cell>
          <cell r="G290">
            <v>2.5399999999999999E-2</v>
          </cell>
          <cell r="I290">
            <v>0.18079999999999999</v>
          </cell>
        </row>
        <row r="291">
          <cell r="B291" t="str">
            <v>LY-125</v>
          </cell>
          <cell r="C291" t="str">
            <v>ESP</v>
          </cell>
          <cell r="D291">
            <v>44172</v>
          </cell>
          <cell r="E291">
            <v>0.57152777777777775</v>
          </cell>
          <cell r="F291">
            <v>4.9599999999999998E-2</v>
          </cell>
          <cell r="G291">
            <v>1.2999999999999999E-2</v>
          </cell>
          <cell r="I291">
            <v>1.7500000000000002E-2</v>
          </cell>
        </row>
        <row r="292">
          <cell r="B292" t="str">
            <v>MN-94</v>
          </cell>
          <cell r="C292" t="str">
            <v>ESP</v>
          </cell>
          <cell r="D292">
            <v>44174</v>
          </cell>
          <cell r="E292">
            <v>0.36458333333333331</v>
          </cell>
          <cell r="F292">
            <v>4.3E-3</v>
          </cell>
          <cell r="G292">
            <v>1.52E-2</v>
          </cell>
          <cell r="I292">
            <v>6.8099999999999994E-2</v>
          </cell>
        </row>
        <row r="293">
          <cell r="B293" t="str">
            <v>MN-95</v>
          </cell>
          <cell r="C293" t="str">
            <v>ESP</v>
          </cell>
          <cell r="D293">
            <v>44174</v>
          </cell>
          <cell r="E293">
            <v>0.37222222222222223</v>
          </cell>
          <cell r="F293">
            <v>1.66E-2</v>
          </cell>
          <cell r="G293">
            <v>1.78E-2</v>
          </cell>
          <cell r="I293">
            <v>1.67E-2</v>
          </cell>
        </row>
        <row r="294">
          <cell r="B294" t="str">
            <v>MN-97</v>
          </cell>
          <cell r="C294" t="str">
            <v>ESP</v>
          </cell>
          <cell r="D294">
            <v>44174</v>
          </cell>
          <cell r="E294">
            <v>0.59236111111111112</v>
          </cell>
          <cell r="F294">
            <v>1.44E-2</v>
          </cell>
          <cell r="G294">
            <v>2.2200000000000001E-2</v>
          </cell>
          <cell r="I294">
            <v>8.5000000000000006E-2</v>
          </cell>
        </row>
        <row r="295">
          <cell r="B295" t="str">
            <v>MN-99</v>
          </cell>
          <cell r="C295" t="str">
            <v>ESP</v>
          </cell>
          <cell r="D295">
            <v>44174</v>
          </cell>
          <cell r="E295">
            <v>0.59722222222222221</v>
          </cell>
          <cell r="F295">
            <v>2.8E-3</v>
          </cell>
          <cell r="G295">
            <v>4.0000000000000001E-3</v>
          </cell>
          <cell r="I295">
            <v>1.6999999999999999E-3</v>
          </cell>
        </row>
        <row r="296">
          <cell r="B296" t="str">
            <v>CH-17</v>
          </cell>
          <cell r="C296" t="str">
            <v>ESP</v>
          </cell>
          <cell r="D296">
            <v>44175</v>
          </cell>
          <cell r="E296">
            <v>0.38472222222222219</v>
          </cell>
          <cell r="F296">
            <v>1.6000000000000001E-3</v>
          </cell>
          <cell r="G296">
            <v>5.4999999999999997E-3</v>
          </cell>
          <cell r="I296">
            <v>0.04</v>
          </cell>
        </row>
        <row r="297">
          <cell r="B297" t="str">
            <v>CH-17</v>
          </cell>
          <cell r="C297" t="str">
            <v>ESP</v>
          </cell>
          <cell r="D297">
            <v>44176</v>
          </cell>
          <cell r="E297">
            <v>0.35694444444444445</v>
          </cell>
          <cell r="F297">
            <v>5.0000000000000001E-3</v>
          </cell>
          <cell r="G297">
            <v>2.5999999999999999E-3</v>
          </cell>
          <cell r="I297">
            <v>7.1000000000000004E-3</v>
          </cell>
        </row>
        <row r="298">
          <cell r="B298" t="str">
            <v>CH-19</v>
          </cell>
          <cell r="C298" t="str">
            <v>ESP</v>
          </cell>
          <cell r="D298">
            <v>44175</v>
          </cell>
          <cell r="E298">
            <v>0.3923611111111111</v>
          </cell>
          <cell r="F298">
            <v>9.74E-2</v>
          </cell>
          <cell r="G298">
            <v>0.12620000000000001</v>
          </cell>
          <cell r="I298">
            <v>0.54269999999999996</v>
          </cell>
        </row>
        <row r="299">
          <cell r="B299" t="str">
            <v>CH-19</v>
          </cell>
          <cell r="C299" t="str">
            <v>ESP</v>
          </cell>
          <cell r="D299">
            <v>44176</v>
          </cell>
          <cell r="E299">
            <v>0.3611111111111111</v>
          </cell>
          <cell r="F299">
            <v>1.6500000000000001E-2</v>
          </cell>
          <cell r="G299">
            <v>9.9000000000000008E-3</v>
          </cell>
          <cell r="I299">
            <v>5.8299999999999998E-2</v>
          </cell>
        </row>
        <row r="300">
          <cell r="B300" t="str">
            <v>CH-27</v>
          </cell>
          <cell r="C300" t="str">
            <v>ESP</v>
          </cell>
          <cell r="D300">
            <v>44176</v>
          </cell>
          <cell r="E300">
            <v>0.37638888888888888</v>
          </cell>
          <cell r="F300">
            <v>4.8999999999999998E-3</v>
          </cell>
          <cell r="G300">
            <v>8.6999999999999994E-3</v>
          </cell>
          <cell r="I300">
            <v>2.8299999999999999E-2</v>
          </cell>
        </row>
        <row r="301">
          <cell r="B301" t="str">
            <v>CH-27</v>
          </cell>
          <cell r="C301" t="str">
            <v>ESP</v>
          </cell>
          <cell r="D301">
            <v>44177</v>
          </cell>
          <cell r="E301">
            <v>0.35138888888888892</v>
          </cell>
          <cell r="F301">
            <v>8.9999999999999998E-4</v>
          </cell>
          <cell r="G301">
            <v>3.3E-3</v>
          </cell>
          <cell r="I301">
            <v>2.4799999999999999E-2</v>
          </cell>
        </row>
        <row r="302">
          <cell r="B302" t="str">
            <v>CH-24</v>
          </cell>
          <cell r="C302" t="str">
            <v>ESP</v>
          </cell>
          <cell r="D302">
            <v>44176</v>
          </cell>
          <cell r="E302">
            <v>0.36736111111111108</v>
          </cell>
          <cell r="F302">
            <v>2.5999999999999999E-2</v>
          </cell>
          <cell r="G302">
            <v>2.3400000000000001E-2</v>
          </cell>
          <cell r="I302">
            <v>7.3499999999999996E-2</v>
          </cell>
        </row>
        <row r="303">
          <cell r="B303" t="str">
            <v>CH-24</v>
          </cell>
          <cell r="C303" t="str">
            <v>ESP</v>
          </cell>
          <cell r="D303">
            <v>44177</v>
          </cell>
          <cell r="E303">
            <v>0.35416666666666669</v>
          </cell>
          <cell r="F303">
            <v>1.83E-2</v>
          </cell>
          <cell r="G303">
            <v>2.1899999999999999E-2</v>
          </cell>
          <cell r="I303">
            <v>7.7100000000000002E-2</v>
          </cell>
        </row>
        <row r="304">
          <cell r="B304" t="str">
            <v>MN-08</v>
          </cell>
          <cell r="C304" t="str">
            <v>ESP</v>
          </cell>
          <cell r="D304">
            <v>44179</v>
          </cell>
          <cell r="E304">
            <v>0.36458333333333331</v>
          </cell>
          <cell r="F304">
            <v>5.4000000000000003E-3</v>
          </cell>
          <cell r="G304">
            <v>7.4000000000000003E-3</v>
          </cell>
          <cell r="I304">
            <v>0.11550000000000001</v>
          </cell>
        </row>
        <row r="305">
          <cell r="B305" t="str">
            <v>MN-08</v>
          </cell>
          <cell r="C305" t="str">
            <v>ESP</v>
          </cell>
          <cell r="D305">
            <v>44180</v>
          </cell>
          <cell r="E305">
            <v>0.31597222222222221</v>
          </cell>
          <cell r="F305">
            <v>3.56E-2</v>
          </cell>
          <cell r="G305">
            <v>8.1799999999999998E-2</v>
          </cell>
          <cell r="I305">
            <v>0.55359999999999998</v>
          </cell>
        </row>
        <row r="306">
          <cell r="B306" t="str">
            <v>LY-267</v>
          </cell>
          <cell r="C306" t="str">
            <v>ESP</v>
          </cell>
          <cell r="D306">
            <v>44179</v>
          </cell>
          <cell r="E306">
            <v>0.37777777777777777</v>
          </cell>
          <cell r="F306">
            <v>2.4500000000000001E-2</v>
          </cell>
          <cell r="G306">
            <v>3.4099999999999998E-2</v>
          </cell>
          <cell r="I306">
            <v>5.1200000000000002E-2</v>
          </cell>
        </row>
        <row r="307">
          <cell r="B307" t="str">
            <v>LY-267</v>
          </cell>
          <cell r="C307" t="str">
            <v>ESP</v>
          </cell>
          <cell r="D307">
            <v>44180</v>
          </cell>
          <cell r="E307">
            <v>0.3298611111111111</v>
          </cell>
          <cell r="F307">
            <v>1.29E-2</v>
          </cell>
          <cell r="G307">
            <v>6.7900000000000002E-2</v>
          </cell>
          <cell r="I307">
            <v>0.1084</v>
          </cell>
        </row>
        <row r="308">
          <cell r="B308" t="str">
            <v>MN-92</v>
          </cell>
          <cell r="C308" t="str">
            <v>ESP</v>
          </cell>
          <cell r="D308">
            <v>44180</v>
          </cell>
          <cell r="E308">
            <v>0.35138888888888892</v>
          </cell>
          <cell r="F308">
            <v>2.0500000000000001E-2</v>
          </cell>
          <cell r="G308">
            <v>8.2199999999999995E-2</v>
          </cell>
          <cell r="I308">
            <v>0.20169999999999999</v>
          </cell>
        </row>
        <row r="309">
          <cell r="B309" t="str">
            <v>MN-40</v>
          </cell>
          <cell r="C309" t="str">
            <v>ESP</v>
          </cell>
          <cell r="D309">
            <v>44180</v>
          </cell>
          <cell r="E309">
            <v>0.35902777777777778</v>
          </cell>
          <cell r="F309">
            <v>2.1899999999999999E-2</v>
          </cell>
          <cell r="G309">
            <v>7.6E-3</v>
          </cell>
          <cell r="I309">
            <v>2.53E-2</v>
          </cell>
        </row>
        <row r="310">
          <cell r="B310" t="str">
            <v>MN-79</v>
          </cell>
          <cell r="C310" t="str">
            <v>ESP</v>
          </cell>
          <cell r="D310">
            <v>44180</v>
          </cell>
          <cell r="E310">
            <v>0.59652777777777777</v>
          </cell>
          <cell r="F310">
            <v>6.7000000000000002E-3</v>
          </cell>
          <cell r="G310">
            <v>7.6E-3</v>
          </cell>
          <cell r="I310">
            <v>1.6400000000000001E-2</v>
          </cell>
        </row>
        <row r="311">
          <cell r="B311" t="str">
            <v>MN-85</v>
          </cell>
          <cell r="C311" t="str">
            <v>ESP</v>
          </cell>
          <cell r="D311">
            <v>44180</v>
          </cell>
          <cell r="E311">
            <v>0.58680555555555558</v>
          </cell>
          <cell r="F311">
            <v>1.0800000000000001E-2</v>
          </cell>
          <cell r="G311">
            <v>3.1399999999999997E-2</v>
          </cell>
          <cell r="I311">
            <v>0.1037</v>
          </cell>
        </row>
        <row r="312">
          <cell r="B312" t="str">
            <v>LY-104</v>
          </cell>
          <cell r="C312" t="str">
            <v>ESP</v>
          </cell>
          <cell r="D312">
            <v>44181</v>
          </cell>
          <cell r="E312">
            <v>0.34236111111111112</v>
          </cell>
          <cell r="F312">
            <v>1.67E-2</v>
          </cell>
          <cell r="G312">
            <v>6.8999999999999999E-3</v>
          </cell>
          <cell r="I312">
            <v>2.6499999999999999E-2</v>
          </cell>
        </row>
        <row r="313">
          <cell r="B313" t="str">
            <v>LY-159</v>
          </cell>
          <cell r="C313" t="str">
            <v>ESP</v>
          </cell>
          <cell r="D313">
            <v>44181</v>
          </cell>
          <cell r="E313">
            <v>0.34930555555555554</v>
          </cell>
          <cell r="F313">
            <v>8.9999999999999993E-3</v>
          </cell>
          <cell r="G313">
            <v>1.2E-2</v>
          </cell>
          <cell r="I313">
            <v>4.2200000000000001E-2</v>
          </cell>
        </row>
        <row r="314">
          <cell r="B314" t="str">
            <v>LY-065</v>
          </cell>
          <cell r="C314" t="str">
            <v>ESP</v>
          </cell>
          <cell r="D314">
            <v>44181</v>
          </cell>
          <cell r="E314">
            <v>0.56805555555555554</v>
          </cell>
          <cell r="F314">
            <v>5.5999999999999999E-3</v>
          </cell>
          <cell r="G314">
            <v>9.9000000000000008E-3</v>
          </cell>
          <cell r="I314">
            <v>2.4500000000000001E-2</v>
          </cell>
        </row>
        <row r="315">
          <cell r="B315" t="str">
            <v>LY-180</v>
          </cell>
          <cell r="C315" t="str">
            <v>ESP</v>
          </cell>
          <cell r="D315">
            <v>44181</v>
          </cell>
          <cell r="E315">
            <v>0.59375</v>
          </cell>
          <cell r="F315">
            <v>3.3E-3</v>
          </cell>
          <cell r="G315">
            <v>8.3999999999999995E-3</v>
          </cell>
          <cell r="I315">
            <v>1.9900000000000001E-2</v>
          </cell>
        </row>
        <row r="316">
          <cell r="B316" t="str">
            <v>LY-223</v>
          </cell>
          <cell r="C316" t="str">
            <v>ESP</v>
          </cell>
          <cell r="D316">
            <v>44182</v>
          </cell>
          <cell r="E316">
            <v>0.34375</v>
          </cell>
          <cell r="F316">
            <v>5.8999999999999999E-3</v>
          </cell>
          <cell r="G316">
            <v>1.78E-2</v>
          </cell>
          <cell r="I316">
            <v>6.1699999999999998E-2</v>
          </cell>
        </row>
        <row r="317">
          <cell r="B317" t="str">
            <v>LY-227</v>
          </cell>
          <cell r="C317" t="str">
            <v>ESP</v>
          </cell>
          <cell r="D317">
            <v>44182</v>
          </cell>
          <cell r="E317">
            <v>0.33819444444444446</v>
          </cell>
          <cell r="F317">
            <v>1.6899999999999998E-2</v>
          </cell>
          <cell r="G317">
            <v>2.3400000000000001E-2</v>
          </cell>
          <cell r="I317">
            <v>5.4899999999999997E-2</v>
          </cell>
        </row>
        <row r="318">
          <cell r="B318" t="str">
            <v>LY-258</v>
          </cell>
          <cell r="C318" t="str">
            <v>ESP</v>
          </cell>
          <cell r="D318">
            <v>44182</v>
          </cell>
          <cell r="E318">
            <v>0.55069444444444449</v>
          </cell>
          <cell r="F318">
            <v>2.1600000000000001E-2</v>
          </cell>
          <cell r="G318">
            <v>9.1000000000000004E-3</v>
          </cell>
          <cell r="I318">
            <v>3.2199999999999999E-2</v>
          </cell>
        </row>
        <row r="319">
          <cell r="B319" t="str">
            <v>LY-274</v>
          </cell>
          <cell r="C319" t="str">
            <v>ESP</v>
          </cell>
          <cell r="D319">
            <v>44182</v>
          </cell>
          <cell r="E319">
            <v>0.56319444444444444</v>
          </cell>
          <cell r="F319">
            <v>6.0000000000000001E-3</v>
          </cell>
          <cell r="G319">
            <v>4.0399999999999998E-2</v>
          </cell>
          <cell r="I319">
            <v>0.1603</v>
          </cell>
        </row>
        <row r="320">
          <cell r="B320" t="str">
            <v>LY-087</v>
          </cell>
          <cell r="C320" t="str">
            <v>ESP</v>
          </cell>
          <cell r="D320">
            <v>44183</v>
          </cell>
          <cell r="E320">
            <v>0.33749999999999997</v>
          </cell>
          <cell r="F320">
            <v>2.3199999999999998E-2</v>
          </cell>
          <cell r="G320">
            <v>3.8199999999999998E-2</v>
          </cell>
          <cell r="I320">
            <v>5.3600000000000002E-2</v>
          </cell>
        </row>
        <row r="321">
          <cell r="B321" t="str">
            <v>LY-128</v>
          </cell>
          <cell r="C321" t="str">
            <v>ESP</v>
          </cell>
          <cell r="D321">
            <v>44183</v>
          </cell>
          <cell r="E321">
            <v>0.34513888888888888</v>
          </cell>
          <cell r="F321">
            <v>5.0099999999999999E-2</v>
          </cell>
          <cell r="G321">
            <v>5.2299999999999999E-2</v>
          </cell>
          <cell r="I321">
            <v>5.8500000000000003E-2</v>
          </cell>
        </row>
        <row r="322">
          <cell r="B322" t="str">
            <v>LY-059</v>
          </cell>
          <cell r="C322" t="str">
            <v>ESP</v>
          </cell>
          <cell r="D322">
            <v>44183</v>
          </cell>
          <cell r="E322">
            <v>0.56527777777777777</v>
          </cell>
          <cell r="F322">
            <v>2.7000000000000001E-3</v>
          </cell>
          <cell r="G322">
            <v>6.0000000000000001E-3</v>
          </cell>
          <cell r="I322">
            <v>7.3899999999999993E-2</v>
          </cell>
        </row>
        <row r="323">
          <cell r="B323" t="str">
            <v>LY-265</v>
          </cell>
          <cell r="C323" t="str">
            <v>ESP</v>
          </cell>
          <cell r="D323">
            <v>44183</v>
          </cell>
          <cell r="E323">
            <v>0.55972222222222223</v>
          </cell>
          <cell r="F323">
            <v>3.8E-3</v>
          </cell>
          <cell r="G323">
            <v>2.0400000000000001E-2</v>
          </cell>
          <cell r="I323">
            <v>6.6799999999999998E-2</v>
          </cell>
        </row>
        <row r="324">
          <cell r="B324" t="str">
            <v>LY-196</v>
          </cell>
          <cell r="C324" t="str">
            <v>ESP</v>
          </cell>
          <cell r="D324">
            <v>44186</v>
          </cell>
          <cell r="E324">
            <v>0.33888888888888885</v>
          </cell>
          <cell r="F324">
            <v>1.84E-2</v>
          </cell>
          <cell r="G324">
            <v>7.6499999999999999E-2</v>
          </cell>
          <cell r="I324">
            <v>0.1007</v>
          </cell>
        </row>
        <row r="325">
          <cell r="B325" t="str">
            <v>LY-186</v>
          </cell>
          <cell r="C325" t="str">
            <v>ESP</v>
          </cell>
          <cell r="D325">
            <v>44186</v>
          </cell>
          <cell r="E325">
            <v>0.34861111111111115</v>
          </cell>
          <cell r="F325">
            <v>2.8999999999999998E-3</v>
          </cell>
          <cell r="G325">
            <v>1.03E-2</v>
          </cell>
          <cell r="I325">
            <v>1.9800000000000002E-2</v>
          </cell>
        </row>
        <row r="326">
          <cell r="B326" t="str">
            <v>LY-259</v>
          </cell>
          <cell r="C326" t="str">
            <v>ESP</v>
          </cell>
          <cell r="D326">
            <v>44186</v>
          </cell>
          <cell r="E326">
            <v>0.35555555555555557</v>
          </cell>
          <cell r="F326">
            <v>1.2999999999999999E-2</v>
          </cell>
          <cell r="G326">
            <v>2.9899999999999999E-2</v>
          </cell>
          <cell r="I326">
            <v>1.49E-2</v>
          </cell>
        </row>
        <row r="327">
          <cell r="B327" t="str">
            <v>LY-251</v>
          </cell>
          <cell r="C327" t="str">
            <v>ESP</v>
          </cell>
          <cell r="D327">
            <v>44186</v>
          </cell>
          <cell r="E327">
            <v>0.56180555555555556</v>
          </cell>
          <cell r="F327">
            <v>1.47E-2</v>
          </cell>
          <cell r="G327">
            <v>2.3099999999999999E-2</v>
          </cell>
          <cell r="I327">
            <v>3.0700000000000002E-2</v>
          </cell>
        </row>
        <row r="328">
          <cell r="B328" t="str">
            <v>LY-236</v>
          </cell>
          <cell r="C328" t="str">
            <v>ESP</v>
          </cell>
          <cell r="D328">
            <v>44186</v>
          </cell>
          <cell r="E328">
            <v>0.57291666666666663</v>
          </cell>
          <cell r="F328">
            <v>5.7000000000000002E-3</v>
          </cell>
          <cell r="G328">
            <v>8.0000000000000002E-3</v>
          </cell>
          <cell r="I328">
            <v>2.3900000000000001E-2</v>
          </cell>
        </row>
        <row r="329">
          <cell r="B329" t="str">
            <v>LY-100</v>
          </cell>
          <cell r="C329" t="str">
            <v>ESP</v>
          </cell>
          <cell r="D329">
            <v>44186</v>
          </cell>
          <cell r="E329">
            <v>0.58611111111111114</v>
          </cell>
          <cell r="F329">
            <v>8.3000000000000001E-3</v>
          </cell>
          <cell r="G329">
            <v>4.0500000000000001E-2</v>
          </cell>
          <cell r="I329">
            <v>0.16750000000000001</v>
          </cell>
        </row>
        <row r="330">
          <cell r="B330" t="str">
            <v>LY-088</v>
          </cell>
          <cell r="C330" t="str">
            <v>ESP</v>
          </cell>
          <cell r="D330">
            <v>44187</v>
          </cell>
          <cell r="E330">
            <v>0.33333333333333331</v>
          </cell>
          <cell r="F330">
            <v>1.8E-3</v>
          </cell>
          <cell r="G330">
            <v>1.1599999999999999E-2</v>
          </cell>
          <cell r="I330">
            <v>1.7899999999999999E-2</v>
          </cell>
        </row>
        <row r="331">
          <cell r="B331" t="str">
            <v>CY-50</v>
          </cell>
          <cell r="C331" t="str">
            <v>ESP</v>
          </cell>
          <cell r="D331">
            <v>44187</v>
          </cell>
          <cell r="E331">
            <v>0.35555555555555557</v>
          </cell>
          <cell r="F331">
            <v>1.1999999999999999E-3</v>
          </cell>
          <cell r="G331">
            <v>4.8999999999999998E-3</v>
          </cell>
          <cell r="I331">
            <v>2.7799999999999998E-2</v>
          </cell>
        </row>
        <row r="332">
          <cell r="B332" t="str">
            <v>LY-067</v>
          </cell>
          <cell r="C332" t="str">
            <v>ESP</v>
          </cell>
          <cell r="D332">
            <v>44187</v>
          </cell>
          <cell r="E332">
            <v>0.36805555555555558</v>
          </cell>
          <cell r="F332">
            <v>2.2800000000000001E-2</v>
          </cell>
          <cell r="G332">
            <v>7.4700000000000003E-2</v>
          </cell>
          <cell r="I332">
            <v>0.24690000000000001</v>
          </cell>
        </row>
        <row r="333">
          <cell r="B333" t="str">
            <v>LY-039</v>
          </cell>
          <cell r="C333" t="str">
            <v>ESP</v>
          </cell>
          <cell r="D333">
            <v>44187</v>
          </cell>
          <cell r="E333">
            <v>0.58750000000000002</v>
          </cell>
          <cell r="F333">
            <v>1.9800000000000002E-2</v>
          </cell>
          <cell r="G333">
            <v>2.3199999999999998E-2</v>
          </cell>
          <cell r="I333">
            <v>3.4599999999999999E-2</v>
          </cell>
        </row>
        <row r="334">
          <cell r="B334" t="str">
            <v>CY-69</v>
          </cell>
          <cell r="C334" t="str">
            <v>ESP</v>
          </cell>
          <cell r="D334">
            <v>44187</v>
          </cell>
          <cell r="E334">
            <v>0.57638888888888895</v>
          </cell>
          <cell r="F334">
            <v>0.22570000000000001</v>
          </cell>
          <cell r="G334">
            <v>3.5700000000000003E-2</v>
          </cell>
          <cell r="I334">
            <v>3.3500000000000002E-2</v>
          </cell>
        </row>
        <row r="335">
          <cell r="B335" t="str">
            <v>CY-94</v>
          </cell>
          <cell r="C335" t="str">
            <v>ESP</v>
          </cell>
          <cell r="D335">
            <v>44187</v>
          </cell>
          <cell r="E335">
            <v>0.57152777777777775</v>
          </cell>
          <cell r="F335">
            <v>9.1000000000000004E-3</v>
          </cell>
          <cell r="G335">
            <v>1.01E-2</v>
          </cell>
          <cell r="I335">
            <v>1.04E-2</v>
          </cell>
        </row>
        <row r="336">
          <cell r="B336" t="str">
            <v>CY-89</v>
          </cell>
          <cell r="C336" t="str">
            <v>ESP</v>
          </cell>
          <cell r="D336">
            <v>44188</v>
          </cell>
          <cell r="E336">
            <v>0.34930555555555554</v>
          </cell>
          <cell r="F336">
            <v>7.4000000000000003E-3</v>
          </cell>
          <cell r="G336">
            <v>1.9599999999999999E-2</v>
          </cell>
          <cell r="I336">
            <v>2.23E-2</v>
          </cell>
        </row>
        <row r="337">
          <cell r="B337" t="str">
            <v>LY-289</v>
          </cell>
          <cell r="C337" t="str">
            <v>ESP</v>
          </cell>
          <cell r="D337">
            <v>44188</v>
          </cell>
          <cell r="E337">
            <v>0.35625000000000001</v>
          </cell>
          <cell r="F337">
            <v>2.8999999999999998E-3</v>
          </cell>
          <cell r="G337">
            <v>1.43E-2</v>
          </cell>
          <cell r="I337">
            <v>2.52E-2</v>
          </cell>
        </row>
        <row r="338">
          <cell r="B338" t="str">
            <v>LY-157</v>
          </cell>
          <cell r="C338" t="str">
            <v>ESP</v>
          </cell>
          <cell r="D338">
            <v>44188</v>
          </cell>
          <cell r="E338">
            <v>0.35972222222222222</v>
          </cell>
          <cell r="F338">
            <v>1.6000000000000001E-3</v>
          </cell>
          <cell r="G338">
            <v>1.1999999999999999E-3</v>
          </cell>
          <cell r="I338">
            <v>6.4000000000000003E-3</v>
          </cell>
        </row>
        <row r="339">
          <cell r="B339" t="str">
            <v>CY-40</v>
          </cell>
          <cell r="C339" t="str">
            <v>ESP</v>
          </cell>
          <cell r="D339">
            <v>44188</v>
          </cell>
          <cell r="E339">
            <v>0.5395833333333333</v>
          </cell>
          <cell r="F339">
            <v>9.1999999999999998E-3</v>
          </cell>
          <cell r="G339">
            <v>2.5700000000000001E-2</v>
          </cell>
          <cell r="I339">
            <v>3.4799999999999998E-2</v>
          </cell>
        </row>
        <row r="340">
          <cell r="B340" t="str">
            <v>CY-90</v>
          </cell>
          <cell r="C340" t="str">
            <v>ESP</v>
          </cell>
          <cell r="D340">
            <v>44188</v>
          </cell>
          <cell r="E340">
            <v>0.54305555555555551</v>
          </cell>
          <cell r="F340">
            <v>1.6000000000000001E-3</v>
          </cell>
          <cell r="G340">
            <v>1.6999999999999999E-3</v>
          </cell>
          <cell r="I340">
            <v>6.1000000000000004E-3</v>
          </cell>
        </row>
        <row r="341">
          <cell r="B341" t="str">
            <v>LY-241 H</v>
          </cell>
          <cell r="C341" t="str">
            <v>ESP</v>
          </cell>
          <cell r="D341">
            <v>44188</v>
          </cell>
          <cell r="E341">
            <v>0.54999999999999993</v>
          </cell>
          <cell r="F341">
            <v>1.5800000000000002E-2</v>
          </cell>
          <cell r="G341">
            <v>8.3000000000000001E-3</v>
          </cell>
          <cell r="I341">
            <v>9.4999999999999998E-3</v>
          </cell>
        </row>
        <row r="342">
          <cell r="B342" t="str">
            <v>CY-17</v>
          </cell>
          <cell r="C342" t="str">
            <v>ESP</v>
          </cell>
          <cell r="D342">
            <v>44189</v>
          </cell>
          <cell r="E342">
            <v>0.30277777777777776</v>
          </cell>
          <cell r="F342">
            <v>2.8999999999999998E-3</v>
          </cell>
          <cell r="G342">
            <v>3.5000000000000001E-3</v>
          </cell>
          <cell r="I342">
            <v>1.6500000000000001E-2</v>
          </cell>
        </row>
        <row r="343">
          <cell r="B343" t="str">
            <v>CY-15</v>
          </cell>
          <cell r="C343" t="str">
            <v>ESP</v>
          </cell>
          <cell r="D343">
            <v>44189</v>
          </cell>
          <cell r="E343">
            <v>0.31666666666666665</v>
          </cell>
          <cell r="F343">
            <v>3.2000000000000002E-3</v>
          </cell>
          <cell r="G343">
            <v>1.5E-3</v>
          </cell>
          <cell r="I343">
            <v>7.9000000000000008E-3</v>
          </cell>
        </row>
        <row r="344">
          <cell r="B344" t="str">
            <v>CY-52</v>
          </cell>
          <cell r="C344" t="str">
            <v>ESP</v>
          </cell>
          <cell r="D344">
            <v>44189</v>
          </cell>
          <cell r="E344">
            <v>0.33402777777777781</v>
          </cell>
          <cell r="F344">
            <v>1.7399999999999999E-2</v>
          </cell>
          <cell r="G344">
            <v>1.01E-2</v>
          </cell>
          <cell r="I344">
            <v>2.0999999999999999E-3</v>
          </cell>
        </row>
        <row r="345">
          <cell r="B345" t="str">
            <v>LY-262</v>
          </cell>
          <cell r="C345" t="str">
            <v>ESP</v>
          </cell>
          <cell r="D345">
            <v>44189</v>
          </cell>
          <cell r="E345">
            <v>0.58333333333333337</v>
          </cell>
          <cell r="F345">
            <v>4.4999999999999997E-3</v>
          </cell>
          <cell r="G345">
            <v>3.8999999999999998E-3</v>
          </cell>
          <cell r="I345">
            <v>1.7100000000000001E-2</v>
          </cell>
        </row>
        <row r="346">
          <cell r="B346" t="str">
            <v>LY-263</v>
          </cell>
          <cell r="C346" t="str">
            <v>ESP</v>
          </cell>
          <cell r="D346">
            <v>44189</v>
          </cell>
          <cell r="E346">
            <v>0.58888888888888891</v>
          </cell>
          <cell r="F346">
            <v>9.4000000000000004E-3</v>
          </cell>
          <cell r="G346">
            <v>2.06E-2</v>
          </cell>
          <cell r="I346">
            <v>1.89E-2</v>
          </cell>
        </row>
        <row r="347">
          <cell r="B347" t="str">
            <v>LY-269</v>
          </cell>
          <cell r="C347" t="str">
            <v>ESP</v>
          </cell>
          <cell r="D347">
            <v>44189</v>
          </cell>
          <cell r="E347">
            <v>0.58194444444444449</v>
          </cell>
          <cell r="F347">
            <v>1.66E-2</v>
          </cell>
          <cell r="G347">
            <v>4.8999999999999998E-3</v>
          </cell>
          <cell r="I347">
            <v>7.9000000000000008E-3</v>
          </cell>
        </row>
        <row r="348">
          <cell r="B348" t="str">
            <v>CY-10</v>
          </cell>
          <cell r="C348" t="str">
            <v>ESP</v>
          </cell>
          <cell r="D348">
            <v>44193</v>
          </cell>
          <cell r="E348">
            <v>0.34652777777777777</v>
          </cell>
          <cell r="F348">
            <v>2.2599999999999999E-2</v>
          </cell>
          <cell r="G348">
            <v>3.6299999999999999E-2</v>
          </cell>
          <cell r="I348">
            <v>3.1300000000000001E-2</v>
          </cell>
        </row>
        <row r="349">
          <cell r="B349" t="str">
            <v>CY-19</v>
          </cell>
          <cell r="C349" t="str">
            <v>ESP</v>
          </cell>
          <cell r="D349">
            <v>44193</v>
          </cell>
          <cell r="E349">
            <v>0.35555555555555557</v>
          </cell>
          <cell r="F349">
            <v>2.6700000000000002E-2</v>
          </cell>
          <cell r="G349">
            <v>1.3899999999999999E-2</v>
          </cell>
          <cell r="I349">
            <v>2.01E-2</v>
          </cell>
        </row>
        <row r="350">
          <cell r="B350" t="str">
            <v>CY-28</v>
          </cell>
          <cell r="C350" t="str">
            <v>ESP</v>
          </cell>
          <cell r="D350">
            <v>44193</v>
          </cell>
          <cell r="E350">
            <v>0.36388888888888887</v>
          </cell>
          <cell r="F350">
            <v>3.3799999999999997E-2</v>
          </cell>
          <cell r="G350">
            <v>4.0300000000000002E-2</v>
          </cell>
          <cell r="I350">
            <v>4.3999999999999997E-2</v>
          </cell>
        </row>
        <row r="351">
          <cell r="B351" t="str">
            <v>CY-41</v>
          </cell>
          <cell r="C351" t="str">
            <v>ESP</v>
          </cell>
          <cell r="D351">
            <v>44193</v>
          </cell>
          <cell r="E351">
            <v>0.58611111111111114</v>
          </cell>
          <cell r="F351">
            <v>3.4799999999999998E-2</v>
          </cell>
          <cell r="G351">
            <v>6.6600000000000006E-2</v>
          </cell>
          <cell r="I351">
            <v>9.8400000000000001E-2</v>
          </cell>
        </row>
        <row r="352">
          <cell r="B352" t="str">
            <v>CY-23</v>
          </cell>
          <cell r="C352" t="str">
            <v>ESP</v>
          </cell>
          <cell r="D352">
            <v>44193</v>
          </cell>
          <cell r="E352">
            <v>0.56180555555555556</v>
          </cell>
          <cell r="F352">
            <v>1.44E-2</v>
          </cell>
          <cell r="G352">
            <v>5.8999999999999999E-3</v>
          </cell>
          <cell r="I352">
            <v>4.4999999999999997E-3</v>
          </cell>
        </row>
        <row r="353">
          <cell r="B353" t="str">
            <v>CY-92</v>
          </cell>
          <cell r="C353" t="str">
            <v>ESP</v>
          </cell>
          <cell r="D353">
            <v>44193</v>
          </cell>
          <cell r="E353">
            <v>0.57361111111111118</v>
          </cell>
          <cell r="F353">
            <v>0.1216</v>
          </cell>
          <cell r="G353">
            <v>0.1241</v>
          </cell>
          <cell r="I353">
            <v>8.4199999999999997E-2</v>
          </cell>
        </row>
        <row r="354">
          <cell r="B354" t="str">
            <v>CY-60</v>
          </cell>
          <cell r="C354" t="str">
            <v>ESP</v>
          </cell>
          <cell r="D354">
            <v>44194</v>
          </cell>
          <cell r="E354">
            <v>0.35694444444444445</v>
          </cell>
          <cell r="F354">
            <v>3.0599999999999999E-2</v>
          </cell>
          <cell r="G354">
            <v>2.7400000000000001E-2</v>
          </cell>
          <cell r="I354">
            <v>1.1599999999999999E-2</v>
          </cell>
        </row>
        <row r="355">
          <cell r="B355" t="str">
            <v>CY-84</v>
          </cell>
          <cell r="C355" t="str">
            <v>ESP</v>
          </cell>
          <cell r="D355">
            <v>44194</v>
          </cell>
          <cell r="E355">
            <v>0.36180555555555555</v>
          </cell>
          <cell r="F355">
            <v>6.3E-3</v>
          </cell>
          <cell r="G355">
            <v>1.37E-2</v>
          </cell>
          <cell r="I355">
            <v>8.0999999999999996E-3</v>
          </cell>
        </row>
        <row r="356">
          <cell r="B356" t="str">
            <v>CY-87</v>
          </cell>
          <cell r="C356" t="str">
            <v>ESP</v>
          </cell>
          <cell r="D356">
            <v>44194</v>
          </cell>
          <cell r="E356">
            <v>0.37222222222222223</v>
          </cell>
          <cell r="F356">
            <v>5.3400000000000003E-2</v>
          </cell>
          <cell r="G356">
            <v>3.2599999999999997E-2</v>
          </cell>
          <cell r="I356">
            <v>2.2200000000000001E-2</v>
          </cell>
        </row>
        <row r="357">
          <cell r="B357" t="str">
            <v>MN X-03</v>
          </cell>
          <cell r="C357" t="str">
            <v>ESP</v>
          </cell>
          <cell r="D357">
            <v>44194</v>
          </cell>
          <cell r="E357">
            <v>0.57638888888888895</v>
          </cell>
          <cell r="F357">
            <v>0.16159999999999999</v>
          </cell>
          <cell r="G357">
            <v>0.13639999999999999</v>
          </cell>
          <cell r="I357">
            <v>3.0499999999999999E-2</v>
          </cell>
        </row>
        <row r="358">
          <cell r="B358" t="str">
            <v>LY-202</v>
          </cell>
          <cell r="C358" t="str">
            <v>ESP</v>
          </cell>
          <cell r="D358">
            <v>44194</v>
          </cell>
          <cell r="E358">
            <v>0.58819444444444446</v>
          </cell>
          <cell r="F358">
            <v>0.1389</v>
          </cell>
          <cell r="G358">
            <v>0.12</v>
          </cell>
          <cell r="I358">
            <v>0.14960000000000001</v>
          </cell>
        </row>
        <row r="359">
          <cell r="B359" t="str">
            <v>LY-275</v>
          </cell>
          <cell r="C359" t="str">
            <v>ESP</v>
          </cell>
          <cell r="D359">
            <v>44194</v>
          </cell>
          <cell r="E359">
            <v>0.59236111111111112</v>
          </cell>
          <cell r="F359">
            <v>6.0100000000000001E-2</v>
          </cell>
          <cell r="G359">
            <v>0.1147</v>
          </cell>
          <cell r="I359">
            <v>0.12570000000000001</v>
          </cell>
        </row>
        <row r="360">
          <cell r="B360" t="str">
            <v>LY-203</v>
          </cell>
          <cell r="C360" t="str">
            <v>ESP</v>
          </cell>
          <cell r="D360">
            <v>44195</v>
          </cell>
          <cell r="E360">
            <v>0.3520833333333333</v>
          </cell>
          <cell r="F360">
            <v>8.5699999999999998E-2</v>
          </cell>
          <cell r="G360">
            <v>7.5300000000000006E-2</v>
          </cell>
          <cell r="I360">
            <v>0.1804</v>
          </cell>
        </row>
        <row r="361">
          <cell r="B361" t="str">
            <v>LY-257</v>
          </cell>
          <cell r="C361" t="str">
            <v>ESP</v>
          </cell>
          <cell r="D361">
            <v>44195</v>
          </cell>
          <cell r="E361">
            <v>0.37708333333333338</v>
          </cell>
          <cell r="F361">
            <v>6.1699999999999998E-2</v>
          </cell>
          <cell r="G361">
            <v>5.7500000000000002E-2</v>
          </cell>
          <cell r="I361">
            <v>3.1899999999999998E-2</v>
          </cell>
        </row>
        <row r="362">
          <cell r="B362" t="str">
            <v>LY-130</v>
          </cell>
          <cell r="C362" t="str">
            <v>ESP</v>
          </cell>
          <cell r="D362">
            <v>44195</v>
          </cell>
          <cell r="E362">
            <v>0.38055555555555554</v>
          </cell>
          <cell r="F362">
            <v>6.3E-3</v>
          </cell>
          <cell r="G362">
            <v>1.1299999999999999E-2</v>
          </cell>
          <cell r="I362">
            <v>1.9199999999999998E-2</v>
          </cell>
        </row>
        <row r="363">
          <cell r="B363" t="str">
            <v>LY-201</v>
          </cell>
          <cell r="C363" t="str">
            <v>ESP</v>
          </cell>
          <cell r="D363">
            <v>44195</v>
          </cell>
          <cell r="E363">
            <v>0.5854166666666667</v>
          </cell>
          <cell r="F363">
            <v>9.5999999999999992E-3</v>
          </cell>
          <cell r="G363">
            <v>6.7999999999999996E-3</v>
          </cell>
          <cell r="I363">
            <v>1.4800000000000001E-2</v>
          </cell>
        </row>
        <row r="364">
          <cell r="B364" t="str">
            <v>LY-121</v>
          </cell>
          <cell r="C364" t="str">
            <v>ESP</v>
          </cell>
          <cell r="D364">
            <v>44195</v>
          </cell>
          <cell r="E364">
            <v>0.59027777777777779</v>
          </cell>
          <cell r="F364">
            <v>2.2200000000000001E-2</v>
          </cell>
          <cell r="G364">
            <v>3.3300000000000003E-2</v>
          </cell>
          <cell r="I364">
            <v>4.2099999999999999E-2</v>
          </cell>
        </row>
        <row r="365">
          <cell r="B365" t="str">
            <v>LY-006</v>
          </cell>
          <cell r="C365" t="str">
            <v>ESP</v>
          </cell>
          <cell r="D365">
            <v>44195</v>
          </cell>
          <cell r="E365">
            <v>0.56874999999999998</v>
          </cell>
          <cell r="F365">
            <v>0.1658</v>
          </cell>
          <cell r="G365">
            <v>0.15440000000000001</v>
          </cell>
          <cell r="I365">
            <v>4.4699999999999997E-2</v>
          </cell>
        </row>
        <row r="366">
          <cell r="B366" t="str">
            <v>LY-218</v>
          </cell>
          <cell r="C366" t="str">
            <v>ESP</v>
          </cell>
          <cell r="D366">
            <v>44196</v>
          </cell>
          <cell r="E366">
            <v>0.3</v>
          </cell>
          <cell r="F366">
            <v>4.19E-2</v>
          </cell>
          <cell r="G366">
            <v>9.9199999999999997E-2</v>
          </cell>
          <cell r="I366">
            <v>0.14680000000000001</v>
          </cell>
        </row>
        <row r="367">
          <cell r="B367" t="str">
            <v>LY-224</v>
          </cell>
          <cell r="C367" t="str">
            <v>ESP</v>
          </cell>
          <cell r="D367">
            <v>44196</v>
          </cell>
          <cell r="E367">
            <v>0.3125</v>
          </cell>
          <cell r="F367">
            <v>5.1799999999999999E-2</v>
          </cell>
          <cell r="G367">
            <v>0.1255</v>
          </cell>
          <cell r="I367">
            <v>0.13150000000000001</v>
          </cell>
        </row>
        <row r="368">
          <cell r="B368" t="str">
            <v>LY-020</v>
          </cell>
          <cell r="C368" t="str">
            <v>ESP</v>
          </cell>
          <cell r="D368">
            <v>44196</v>
          </cell>
          <cell r="E368">
            <v>0.32569444444444445</v>
          </cell>
          <cell r="F368">
            <v>3.3999999999999998E-3</v>
          </cell>
          <cell r="G368">
            <v>5.4000000000000003E-3</v>
          </cell>
          <cell r="I368">
            <v>6.8999999999999999E-3</v>
          </cell>
        </row>
        <row r="369">
          <cell r="B369" t="str">
            <v>LY-085</v>
          </cell>
          <cell r="C369" t="str">
            <v>ESP</v>
          </cell>
          <cell r="D369">
            <v>44196</v>
          </cell>
          <cell r="E369">
            <v>0.48541666666666666</v>
          </cell>
          <cell r="F369">
            <v>4.1999999999999997E-3</v>
          </cell>
          <cell r="G369">
            <v>5.4999999999999997E-3</v>
          </cell>
          <cell r="I369">
            <v>3.0999999999999999E-3</v>
          </cell>
        </row>
        <row r="370">
          <cell r="B370" t="str">
            <v>LY-092</v>
          </cell>
          <cell r="C370" t="str">
            <v>ESP</v>
          </cell>
          <cell r="D370">
            <v>44196</v>
          </cell>
          <cell r="E370">
            <v>0.49791666666666662</v>
          </cell>
          <cell r="F370">
            <v>5.8999999999999999E-3</v>
          </cell>
          <cell r="G370">
            <v>1.9900000000000001E-2</v>
          </cell>
          <cell r="I370">
            <v>4.3099999999999999E-2</v>
          </cell>
        </row>
        <row r="371">
          <cell r="B371" t="str">
            <v>LY-138</v>
          </cell>
          <cell r="C371" t="str">
            <v>ESP</v>
          </cell>
          <cell r="D371">
            <v>44196</v>
          </cell>
          <cell r="E371">
            <v>0.48819444444444443</v>
          </cell>
          <cell r="F371">
            <v>0.1076</v>
          </cell>
          <cell r="G371">
            <v>9.8799999999999999E-2</v>
          </cell>
          <cell r="I371">
            <v>0.1283</v>
          </cell>
        </row>
        <row r="372">
          <cell r="B372" t="str">
            <v>LY-174</v>
          </cell>
          <cell r="C372" t="str">
            <v>ESP</v>
          </cell>
          <cell r="D372">
            <v>44200</v>
          </cell>
          <cell r="E372">
            <v>0.33680555555555558</v>
          </cell>
          <cell r="F372">
            <v>1.55E-2</v>
          </cell>
          <cell r="G372">
            <v>3.73E-2</v>
          </cell>
          <cell r="I372">
            <v>2.8299999999999999E-2</v>
          </cell>
        </row>
        <row r="373">
          <cell r="B373" t="str">
            <v>LY-008</v>
          </cell>
          <cell r="C373" t="str">
            <v>ESP</v>
          </cell>
          <cell r="D373">
            <v>44200</v>
          </cell>
          <cell r="E373">
            <v>0.34513888888888888</v>
          </cell>
          <cell r="F373">
            <v>1.8E-3</v>
          </cell>
          <cell r="G373">
            <v>1.54E-2</v>
          </cell>
          <cell r="I373">
            <v>2.76E-2</v>
          </cell>
        </row>
        <row r="374">
          <cell r="B374" t="str">
            <v>LY-143</v>
          </cell>
          <cell r="C374" t="str">
            <v>ESP</v>
          </cell>
          <cell r="D374">
            <v>44200</v>
          </cell>
          <cell r="E374">
            <v>0.3527777777777778</v>
          </cell>
          <cell r="F374">
            <v>7.7000000000000002E-3</v>
          </cell>
          <cell r="G374">
            <v>8.0000000000000002E-3</v>
          </cell>
          <cell r="I374">
            <v>1.5800000000000002E-2</v>
          </cell>
        </row>
        <row r="375">
          <cell r="B375" t="str">
            <v>LY-070</v>
          </cell>
          <cell r="C375" t="str">
            <v>ESP</v>
          </cell>
          <cell r="D375">
            <v>44200</v>
          </cell>
          <cell r="E375">
            <v>0.57847222222222217</v>
          </cell>
          <cell r="F375">
            <v>8.8000000000000005E-3</v>
          </cell>
          <cell r="G375">
            <v>2.2200000000000001E-2</v>
          </cell>
          <cell r="I375">
            <v>2.5899999999999999E-2</v>
          </cell>
        </row>
        <row r="376">
          <cell r="B376" t="str">
            <v>LY-214</v>
          </cell>
          <cell r="C376" t="str">
            <v>ESP</v>
          </cell>
          <cell r="D376">
            <v>44200</v>
          </cell>
          <cell r="E376">
            <v>0.5854166666666667</v>
          </cell>
          <cell r="F376">
            <v>1.2699999999999999E-2</v>
          </cell>
          <cell r="G376">
            <v>1.78E-2</v>
          </cell>
          <cell r="I376">
            <v>4.5999999999999999E-2</v>
          </cell>
        </row>
        <row r="377">
          <cell r="B377" t="str">
            <v>LY-109</v>
          </cell>
          <cell r="C377" t="str">
            <v>ESP</v>
          </cell>
          <cell r="D377">
            <v>44201</v>
          </cell>
          <cell r="E377">
            <v>0.3527777777777778</v>
          </cell>
          <cell r="F377">
            <v>1.49E-2</v>
          </cell>
          <cell r="G377">
            <v>4.4699999999999997E-2</v>
          </cell>
          <cell r="I377">
            <v>3.8800000000000001E-2</v>
          </cell>
        </row>
        <row r="378">
          <cell r="B378" t="str">
            <v>LY-215</v>
          </cell>
          <cell r="C378" t="str">
            <v>ESP</v>
          </cell>
          <cell r="D378">
            <v>44201</v>
          </cell>
          <cell r="E378">
            <v>0.36388888888888887</v>
          </cell>
          <cell r="F378">
            <v>0.12570000000000001</v>
          </cell>
          <cell r="G378">
            <v>0.1182</v>
          </cell>
          <cell r="I378">
            <v>6.7699999999999996E-2</v>
          </cell>
        </row>
        <row r="379">
          <cell r="B379" t="str">
            <v>LY-234</v>
          </cell>
          <cell r="C379" t="str">
            <v>ESP</v>
          </cell>
          <cell r="D379">
            <v>44201</v>
          </cell>
          <cell r="E379">
            <v>0.5805555555555556</v>
          </cell>
          <cell r="F379">
            <v>4.5999999999999999E-3</v>
          </cell>
          <cell r="G379">
            <v>6.4000000000000003E-3</v>
          </cell>
          <cell r="I379">
            <v>6.8999999999999999E-3</v>
          </cell>
        </row>
        <row r="380">
          <cell r="B380" t="str">
            <v>LY-264</v>
          </cell>
          <cell r="C380" t="str">
            <v>ESP</v>
          </cell>
          <cell r="D380">
            <v>44201</v>
          </cell>
          <cell r="E380">
            <v>0.58680555555555558</v>
          </cell>
          <cell r="F380">
            <v>9.3299999999999994E-2</v>
          </cell>
          <cell r="G380">
            <v>7.5200000000000003E-2</v>
          </cell>
          <cell r="I380">
            <v>4.2799999999999998E-2</v>
          </cell>
        </row>
        <row r="381">
          <cell r="B381" t="str">
            <v>CY-67</v>
          </cell>
          <cell r="C381" t="str">
            <v>ESP</v>
          </cell>
          <cell r="D381">
            <v>44202</v>
          </cell>
          <cell r="E381">
            <v>0.38263888888888892</v>
          </cell>
          <cell r="F381">
            <v>1.4E-2</v>
          </cell>
          <cell r="G381">
            <v>1.67E-2</v>
          </cell>
          <cell r="I381">
            <v>2.9600000000000001E-2</v>
          </cell>
        </row>
        <row r="382">
          <cell r="B382" t="str">
            <v>CY-25</v>
          </cell>
          <cell r="C382" t="str">
            <v>ESP</v>
          </cell>
          <cell r="D382">
            <v>44202</v>
          </cell>
          <cell r="E382">
            <v>0.39097222222222222</v>
          </cell>
          <cell r="F382">
            <v>1.2200000000000001E-2</v>
          </cell>
          <cell r="G382">
            <v>1.55E-2</v>
          </cell>
          <cell r="I382">
            <v>1.9E-2</v>
          </cell>
        </row>
        <row r="383">
          <cell r="B383" t="str">
            <v>CY-78</v>
          </cell>
          <cell r="C383" t="str">
            <v>ESP</v>
          </cell>
          <cell r="D383">
            <v>44202</v>
          </cell>
          <cell r="E383">
            <v>0.57291666666666663</v>
          </cell>
          <cell r="F383">
            <v>2.3E-2</v>
          </cell>
          <cell r="G383">
            <v>2.6599999999999999E-2</v>
          </cell>
          <cell r="I383">
            <v>9.4000000000000004E-3</v>
          </cell>
        </row>
        <row r="384">
          <cell r="B384" t="str">
            <v>CY-14</v>
          </cell>
          <cell r="C384" t="str">
            <v>ESP</v>
          </cell>
          <cell r="D384">
            <v>44202</v>
          </cell>
          <cell r="E384">
            <v>0.58402777777777781</v>
          </cell>
          <cell r="F384">
            <v>6.4999999999999997E-3</v>
          </cell>
          <cell r="G384">
            <v>5.8999999999999999E-3</v>
          </cell>
          <cell r="I384">
            <v>9.4000000000000004E-3</v>
          </cell>
        </row>
        <row r="385">
          <cell r="B385" t="str">
            <v>MNX-02</v>
          </cell>
          <cell r="C385" t="str">
            <v>ESP</v>
          </cell>
          <cell r="D385">
            <v>44203</v>
          </cell>
          <cell r="E385">
            <v>0.35069444444444442</v>
          </cell>
          <cell r="F385">
            <v>2.46E-2</v>
          </cell>
          <cell r="G385">
            <v>2.3199999999999998E-2</v>
          </cell>
          <cell r="I385">
            <v>2.3900000000000001E-2</v>
          </cell>
        </row>
        <row r="386">
          <cell r="B386" t="str">
            <v>MNX-03</v>
          </cell>
          <cell r="C386" t="str">
            <v>ESP</v>
          </cell>
          <cell r="D386">
            <v>44203</v>
          </cell>
          <cell r="E386">
            <v>0.3576388888888889</v>
          </cell>
          <cell r="F386">
            <v>9.9900000000000003E-2</v>
          </cell>
          <cell r="G386">
            <v>0.12909999999999999</v>
          </cell>
          <cell r="I386">
            <v>7.17E-2</v>
          </cell>
        </row>
        <row r="387">
          <cell r="B387" t="str">
            <v>LY-279</v>
          </cell>
          <cell r="C387" t="str">
            <v>ESP</v>
          </cell>
          <cell r="D387">
            <v>44203</v>
          </cell>
          <cell r="E387">
            <v>0.58194444444444449</v>
          </cell>
          <cell r="F387">
            <v>2.9899999999999999E-2</v>
          </cell>
          <cell r="G387">
            <v>5.1799999999999999E-2</v>
          </cell>
          <cell r="I387">
            <v>0.1615</v>
          </cell>
        </row>
        <row r="388">
          <cell r="B388" t="str">
            <v>LY-226</v>
          </cell>
          <cell r="C388" t="str">
            <v>ESP</v>
          </cell>
          <cell r="D388">
            <v>44203</v>
          </cell>
          <cell r="E388">
            <v>0.58750000000000002</v>
          </cell>
          <cell r="F388">
            <v>6.4399999999999999E-2</v>
          </cell>
          <cell r="G388">
            <v>6.1899999999999997E-2</v>
          </cell>
          <cell r="I388">
            <v>4.9099999999999998E-2</v>
          </cell>
        </row>
        <row r="389">
          <cell r="B389" t="str">
            <v>LY-45</v>
          </cell>
          <cell r="C389" t="str">
            <v>ESP</v>
          </cell>
          <cell r="D389">
            <v>44204</v>
          </cell>
          <cell r="E389">
            <v>0.34722222222222227</v>
          </cell>
          <cell r="F389">
            <v>5.1000000000000004E-3</v>
          </cell>
          <cell r="G389">
            <v>1.0800000000000001E-2</v>
          </cell>
          <cell r="I389">
            <v>2.18E-2</v>
          </cell>
        </row>
        <row r="390">
          <cell r="B390" t="str">
            <v>LY-269</v>
          </cell>
          <cell r="C390" t="str">
            <v>ESP</v>
          </cell>
          <cell r="D390">
            <v>44204</v>
          </cell>
          <cell r="E390">
            <v>0.35486111111111113</v>
          </cell>
          <cell r="F390">
            <v>3.3E-3</v>
          </cell>
          <cell r="G390">
            <v>4.7999999999999996E-3</v>
          </cell>
          <cell r="I390">
            <v>7.1000000000000004E-3</v>
          </cell>
        </row>
        <row r="391">
          <cell r="B391" t="str">
            <v>LY-263</v>
          </cell>
          <cell r="C391" t="str">
            <v>ESP</v>
          </cell>
          <cell r="D391">
            <v>44204</v>
          </cell>
          <cell r="E391">
            <v>0.55833333333333335</v>
          </cell>
          <cell r="F391">
            <v>0.1158</v>
          </cell>
          <cell r="G391">
            <v>7.46E-2</v>
          </cell>
          <cell r="I391">
            <v>4.2599999999999999E-2</v>
          </cell>
        </row>
        <row r="392">
          <cell r="B392" t="str">
            <v>LY-262</v>
          </cell>
          <cell r="C392" t="str">
            <v>ESP</v>
          </cell>
          <cell r="D392">
            <v>44204</v>
          </cell>
          <cell r="E392">
            <v>0.57013888888888886</v>
          </cell>
          <cell r="F392">
            <v>2.4299999999999999E-2</v>
          </cell>
          <cell r="G392">
            <v>2.9100000000000001E-2</v>
          </cell>
          <cell r="I392">
            <v>8.3999999999999995E-3</v>
          </cell>
        </row>
        <row r="393">
          <cell r="B393" t="str">
            <v>LY-146</v>
          </cell>
          <cell r="C393" t="str">
            <v>ESP</v>
          </cell>
          <cell r="D393">
            <v>44208</v>
          </cell>
          <cell r="E393">
            <v>0.33749999999999997</v>
          </cell>
          <cell r="F393">
            <v>3.5400000000000001E-2</v>
          </cell>
          <cell r="G393">
            <v>2.35E-2</v>
          </cell>
          <cell r="I393">
            <v>8.3999999999999995E-3</v>
          </cell>
        </row>
        <row r="394">
          <cell r="B394" t="str">
            <v>LY-130</v>
          </cell>
          <cell r="C394" t="str">
            <v>ESP</v>
          </cell>
          <cell r="D394">
            <v>44208</v>
          </cell>
          <cell r="E394">
            <v>0.34583333333333338</v>
          </cell>
          <cell r="F394">
            <v>2.2000000000000001E-3</v>
          </cell>
          <cell r="G394">
            <v>3.5000000000000001E-3</v>
          </cell>
          <cell r="I394">
            <v>6.3E-3</v>
          </cell>
        </row>
        <row r="395">
          <cell r="B395" t="str">
            <v>LY-303</v>
          </cell>
          <cell r="C395" t="str">
            <v>ESP</v>
          </cell>
          <cell r="D395">
            <v>44208</v>
          </cell>
          <cell r="E395">
            <v>0.5541666666666667</v>
          </cell>
          <cell r="F395">
            <v>8.5000000000000006E-3</v>
          </cell>
          <cell r="G395">
            <v>1.23E-2</v>
          </cell>
          <cell r="I395">
            <v>3.6600000000000001E-2</v>
          </cell>
        </row>
        <row r="396">
          <cell r="B396" t="str">
            <v>LY-257</v>
          </cell>
          <cell r="C396" t="str">
            <v>ESP</v>
          </cell>
          <cell r="D396">
            <v>44208</v>
          </cell>
          <cell r="E396">
            <v>0.56666666666666665</v>
          </cell>
          <cell r="F396">
            <v>3.8E-3</v>
          </cell>
          <cell r="G396">
            <v>6.1000000000000004E-3</v>
          </cell>
          <cell r="I396">
            <v>8.3999999999999995E-3</v>
          </cell>
        </row>
        <row r="397">
          <cell r="B397" t="str">
            <v>MN-43</v>
          </cell>
          <cell r="C397" t="str">
            <v>ESP</v>
          </cell>
          <cell r="D397">
            <v>44209</v>
          </cell>
          <cell r="E397">
            <v>0.34166666666666662</v>
          </cell>
          <cell r="F397">
            <v>1.37E-2</v>
          </cell>
          <cell r="G397">
            <v>2.12E-2</v>
          </cell>
          <cell r="I397">
            <v>2.5700000000000001E-2</v>
          </cell>
        </row>
        <row r="398">
          <cell r="B398" t="str">
            <v>MN-40</v>
          </cell>
          <cell r="C398" t="str">
            <v>ESP</v>
          </cell>
          <cell r="D398">
            <v>44209</v>
          </cell>
          <cell r="E398">
            <v>0.34791666666666665</v>
          </cell>
          <cell r="F398">
            <v>1.9E-3</v>
          </cell>
          <cell r="G398">
            <v>3.3E-3</v>
          </cell>
          <cell r="I398">
            <v>6.6E-3</v>
          </cell>
        </row>
        <row r="399">
          <cell r="B399" t="str">
            <v>MN-92</v>
          </cell>
          <cell r="C399" t="str">
            <v>ESP</v>
          </cell>
          <cell r="D399">
            <v>44209</v>
          </cell>
          <cell r="E399">
            <v>0.5625</v>
          </cell>
          <cell r="F399">
            <v>2.9000000000000001E-2</v>
          </cell>
          <cell r="G399">
            <v>2.2599999999999999E-2</v>
          </cell>
          <cell r="I399">
            <v>1.01E-2</v>
          </cell>
        </row>
        <row r="400">
          <cell r="B400" t="str">
            <v>MN-94</v>
          </cell>
          <cell r="C400" t="str">
            <v>ESP</v>
          </cell>
          <cell r="D400">
            <v>44209</v>
          </cell>
          <cell r="E400">
            <v>0.56736111111111109</v>
          </cell>
          <cell r="F400">
            <v>5.6300000000000003E-2</v>
          </cell>
          <cell r="G400">
            <v>5.33E-2</v>
          </cell>
          <cell r="I400">
            <v>2.4E-2</v>
          </cell>
        </row>
        <row r="401">
          <cell r="B401" t="str">
            <v>CH-19</v>
          </cell>
          <cell r="C401" t="str">
            <v>ESP</v>
          </cell>
          <cell r="D401">
            <v>44210</v>
          </cell>
          <cell r="E401">
            <v>0.38055555555555554</v>
          </cell>
          <cell r="F401">
            <v>4.0399999999999998E-2</v>
          </cell>
          <cell r="G401">
            <v>0.12239999999999999</v>
          </cell>
          <cell r="I401">
            <v>0.3291</v>
          </cell>
        </row>
        <row r="402">
          <cell r="B402" t="str">
            <v>Muestra No.2</v>
          </cell>
          <cell r="D402">
            <v>44211</v>
          </cell>
          <cell r="E402">
            <v>0.37986111111111115</v>
          </cell>
          <cell r="F402">
            <v>8.2600000000000007E-2</v>
          </cell>
          <cell r="G402">
            <v>0.13719999999999999</v>
          </cell>
          <cell r="I402">
            <v>0.4355</v>
          </cell>
        </row>
        <row r="403">
          <cell r="B403" t="str">
            <v>CH-26</v>
          </cell>
          <cell r="C403" t="str">
            <v>ESP</v>
          </cell>
          <cell r="D403">
            <v>44210</v>
          </cell>
          <cell r="E403">
            <v>0.3833333333333333</v>
          </cell>
          <cell r="F403">
            <v>7.1999999999999998E-3</v>
          </cell>
          <cell r="G403">
            <v>4.1000000000000003E-3</v>
          </cell>
          <cell r="I403">
            <v>1.32E-2</v>
          </cell>
        </row>
        <row r="404">
          <cell r="B404" t="str">
            <v>Muestra No.2</v>
          </cell>
          <cell r="D404">
            <v>44211</v>
          </cell>
          <cell r="E404">
            <v>0.38125000000000003</v>
          </cell>
          <cell r="F404">
            <v>2.6499999999999999E-2</v>
          </cell>
          <cell r="G404">
            <v>1.7999999999999999E-2</v>
          </cell>
          <cell r="I404">
            <v>2.4400000000000002E-2</v>
          </cell>
        </row>
        <row r="405">
          <cell r="B405" t="str">
            <v>CH-25</v>
          </cell>
          <cell r="C405" t="str">
            <v>ESP</v>
          </cell>
          <cell r="D405">
            <v>44211</v>
          </cell>
          <cell r="E405">
            <v>0.40625</v>
          </cell>
          <cell r="F405">
            <v>3.5400000000000001E-2</v>
          </cell>
          <cell r="G405">
            <v>2.8799999999999999E-2</v>
          </cell>
          <cell r="I405">
            <v>0.02</v>
          </cell>
        </row>
        <row r="406">
          <cell r="B406" t="str">
            <v>Muestra No.2</v>
          </cell>
          <cell r="D406"/>
          <cell r="E406">
            <v>0.37291666666666662</v>
          </cell>
          <cell r="F406">
            <v>7.0000000000000001E-3</v>
          </cell>
          <cell r="G406">
            <v>6.8999999999999999E-3</v>
          </cell>
          <cell r="I406">
            <v>1.9599999999999999E-2</v>
          </cell>
        </row>
        <row r="407">
          <cell r="B407" t="str">
            <v>CH-27</v>
          </cell>
          <cell r="C407" t="str">
            <v>ESP</v>
          </cell>
          <cell r="D407">
            <v>44211</v>
          </cell>
          <cell r="E407">
            <v>0.40763888888888888</v>
          </cell>
          <cell r="F407">
            <v>4.3900000000000002E-2</v>
          </cell>
          <cell r="G407">
            <v>6.1100000000000002E-2</v>
          </cell>
          <cell r="I407">
            <v>0.1222</v>
          </cell>
        </row>
        <row r="408">
          <cell r="B408" t="str">
            <v>Muestra No.2</v>
          </cell>
          <cell r="D408"/>
          <cell r="E408">
            <v>0.37361111111111112</v>
          </cell>
          <cell r="F408">
            <v>1.43E-2</v>
          </cell>
          <cell r="G408">
            <v>1.3299999999999999E-2</v>
          </cell>
          <cell r="I408">
            <v>1.23E-2</v>
          </cell>
        </row>
        <row r="409">
          <cell r="B409" t="str">
            <v>CH-22</v>
          </cell>
          <cell r="C409" t="str">
            <v>ESP</v>
          </cell>
          <cell r="D409">
            <v>44214</v>
          </cell>
          <cell r="E409">
            <v>0.37222222222222223</v>
          </cell>
          <cell r="F409">
            <v>8.3299999999999999E-2</v>
          </cell>
          <cell r="G409">
            <v>7.4000000000000003E-3</v>
          </cell>
          <cell r="H409"/>
          <cell r="I409">
            <v>4.99E-2</v>
          </cell>
          <cell r="J409"/>
        </row>
        <row r="410">
          <cell r="B410" t="str">
            <v>Muestra No.2</v>
          </cell>
          <cell r="C410"/>
          <cell r="D410">
            <v>44215</v>
          </cell>
          <cell r="E410">
            <v>0.4055555555555555</v>
          </cell>
          <cell r="F410">
            <v>3.3E-3</v>
          </cell>
          <cell r="G410">
            <v>2.5000000000000001E-3</v>
          </cell>
          <cell r="H410"/>
          <cell r="I410">
            <v>1.0699999999999999E-2</v>
          </cell>
          <cell r="J410"/>
        </row>
        <row r="411">
          <cell r="B411" t="str">
            <v>CH-06</v>
          </cell>
          <cell r="C411" t="str">
            <v>ESP</v>
          </cell>
          <cell r="D411">
            <v>44214</v>
          </cell>
          <cell r="E411">
            <v>0.37916666666666665</v>
          </cell>
          <cell r="F411">
            <v>1.6799999999999999E-2</v>
          </cell>
          <cell r="G411">
            <v>6.3E-3</v>
          </cell>
          <cell r="H411"/>
          <cell r="I411">
            <v>2.3599999999999999E-2</v>
          </cell>
          <cell r="J411"/>
        </row>
        <row r="412">
          <cell r="B412" t="str">
            <v>Muestra No.2</v>
          </cell>
          <cell r="C412"/>
          <cell r="D412">
            <v>44215</v>
          </cell>
          <cell r="E412">
            <v>0.40902777777777777</v>
          </cell>
          <cell r="F412">
            <v>8.3000000000000001E-3</v>
          </cell>
          <cell r="G412">
            <v>5.4000000000000003E-3</v>
          </cell>
          <cell r="H412"/>
          <cell r="I412">
            <v>2.5100000000000001E-2</v>
          </cell>
          <cell r="J412"/>
        </row>
        <row r="413">
          <cell r="B413" t="str">
            <v>CH-14</v>
          </cell>
          <cell r="C413" t="str">
            <v>ESP</v>
          </cell>
          <cell r="D413">
            <v>44215</v>
          </cell>
          <cell r="E413">
            <v>0.42152777777777778</v>
          </cell>
          <cell r="F413">
            <v>9.1000000000000004E-3</v>
          </cell>
          <cell r="G413">
            <v>1.2999999999999999E-2</v>
          </cell>
          <cell r="I413">
            <v>2.8299999999999999E-2</v>
          </cell>
        </row>
        <row r="414">
          <cell r="B414" t="str">
            <v>Muestra No.2</v>
          </cell>
          <cell r="D414">
            <v>44216</v>
          </cell>
          <cell r="E414">
            <v>0.38680555555555557</v>
          </cell>
          <cell r="F414">
            <v>1.6799999999999999E-2</v>
          </cell>
          <cell r="G414">
            <v>1.5900000000000001E-2</v>
          </cell>
          <cell r="I414">
            <v>1.9E-2</v>
          </cell>
        </row>
        <row r="415">
          <cell r="B415" t="str">
            <v>LY-112</v>
          </cell>
          <cell r="C415" t="str">
            <v>ESP</v>
          </cell>
          <cell r="D415">
            <v>44215</v>
          </cell>
          <cell r="E415">
            <v>0.48958333333333331</v>
          </cell>
          <cell r="F415">
            <v>3.7000000000000002E-3</v>
          </cell>
          <cell r="G415">
            <v>8.3000000000000001E-3</v>
          </cell>
          <cell r="I415">
            <v>0.01</v>
          </cell>
        </row>
        <row r="416">
          <cell r="B416" t="str">
            <v>Muestra No.2</v>
          </cell>
          <cell r="D416">
            <v>44216</v>
          </cell>
          <cell r="E416">
            <v>0.53749999999999998</v>
          </cell>
          <cell r="F416">
            <v>1.54E-2</v>
          </cell>
          <cell r="G416">
            <v>1.0200000000000001E-2</v>
          </cell>
          <cell r="I416">
            <v>8.8999999999999999E-3</v>
          </cell>
        </row>
        <row r="417">
          <cell r="B417" t="str">
            <v>LY-265</v>
          </cell>
          <cell r="C417" t="str">
            <v>ESP</v>
          </cell>
          <cell r="D417">
            <v>44216</v>
          </cell>
          <cell r="E417">
            <v>0.55555555555555558</v>
          </cell>
          <cell r="F417">
            <v>9.4999999999999998E-3</v>
          </cell>
          <cell r="G417">
            <v>1.26E-2</v>
          </cell>
          <cell r="I417">
            <v>4.9700000000000001E-2</v>
          </cell>
        </row>
        <row r="418">
          <cell r="B418" t="str">
            <v>LY-128</v>
          </cell>
          <cell r="C418" t="str">
            <v>ESP</v>
          </cell>
          <cell r="D418">
            <v>44216</v>
          </cell>
          <cell r="E418">
            <v>0.56111111111111112</v>
          </cell>
          <cell r="F418">
            <v>5.8999999999999999E-3</v>
          </cell>
          <cell r="G418">
            <v>3.5999999999999999E-3</v>
          </cell>
          <cell r="I418">
            <v>6.0000000000000001E-3</v>
          </cell>
        </row>
        <row r="419">
          <cell r="B419" t="str">
            <v>CV-11</v>
          </cell>
          <cell r="C419" t="str">
            <v>ESP</v>
          </cell>
          <cell r="D419">
            <v>44217</v>
          </cell>
          <cell r="E419">
            <v>0.41041666666666665</v>
          </cell>
          <cell r="F419">
            <v>3.3599999999999998E-2</v>
          </cell>
          <cell r="G419">
            <v>2.8500000000000001E-2</v>
          </cell>
          <cell r="I419">
            <v>2.9000000000000001E-2</v>
          </cell>
        </row>
        <row r="420">
          <cell r="B420" t="str">
            <v>CV-19</v>
          </cell>
          <cell r="C420" t="str">
            <v>ESP</v>
          </cell>
          <cell r="D420">
            <v>44217</v>
          </cell>
          <cell r="E420">
            <v>0.4201388888888889</v>
          </cell>
          <cell r="F420">
            <v>7.6E-3</v>
          </cell>
          <cell r="G420">
            <v>1.89E-2</v>
          </cell>
          <cell r="I420">
            <v>4.2299999999999997E-2</v>
          </cell>
        </row>
        <row r="421">
          <cell r="B421" t="str">
            <v>ARG-01</v>
          </cell>
          <cell r="C421" t="str">
            <v>ESP</v>
          </cell>
          <cell r="D421">
            <v>44217</v>
          </cell>
          <cell r="E421">
            <v>0.6069444444444444</v>
          </cell>
          <cell r="F421">
            <v>2E-3</v>
          </cell>
          <cell r="G421">
            <v>5.5999999999999999E-3</v>
          </cell>
          <cell r="I421">
            <v>9.7999999999999997E-3</v>
          </cell>
        </row>
        <row r="422">
          <cell r="B422" t="str">
            <v>BAY-04</v>
          </cell>
          <cell r="C422" t="str">
            <v>ESP</v>
          </cell>
          <cell r="D422">
            <v>44217</v>
          </cell>
          <cell r="E422">
            <v>0.62708333333333333</v>
          </cell>
          <cell r="F422">
            <v>5.0000000000000001E-3</v>
          </cell>
          <cell r="G422">
            <v>7.0000000000000001E-3</v>
          </cell>
          <cell r="I422">
            <v>1.9800000000000002E-2</v>
          </cell>
        </row>
        <row r="423">
          <cell r="B423" t="str">
            <v>CV E-05</v>
          </cell>
          <cell r="C423" t="str">
            <v>ESP</v>
          </cell>
          <cell r="D423">
            <v>44218</v>
          </cell>
          <cell r="E423">
            <v>0.35069444444444442</v>
          </cell>
          <cell r="F423">
            <v>7.9000000000000008E-3</v>
          </cell>
          <cell r="G423">
            <v>1.2E-2</v>
          </cell>
          <cell r="I423">
            <v>8.6E-3</v>
          </cell>
        </row>
        <row r="424">
          <cell r="B424" t="str">
            <v>BAY-01ST</v>
          </cell>
          <cell r="C424" t="str">
            <v>ESP</v>
          </cell>
          <cell r="D424">
            <v>44218</v>
          </cell>
          <cell r="E424">
            <v>0.3743055555555555</v>
          </cell>
          <cell r="F424">
            <v>4.3E-3</v>
          </cell>
          <cell r="G424">
            <v>1.6899999999999998E-2</v>
          </cell>
          <cell r="I424">
            <v>2.0799999999999999E-2</v>
          </cell>
        </row>
        <row r="425">
          <cell r="B425" t="str">
            <v>CV E-03</v>
          </cell>
          <cell r="C425" t="str">
            <v>ESP</v>
          </cell>
          <cell r="D425">
            <v>44218</v>
          </cell>
          <cell r="E425">
            <v>0.35486111111111113</v>
          </cell>
          <cell r="F425">
            <v>5.5999999999999999E-3</v>
          </cell>
          <cell r="G425">
            <v>5.4999999999999997E-3</v>
          </cell>
          <cell r="I425">
            <v>5.3E-3</v>
          </cell>
        </row>
        <row r="426">
          <cell r="B426" t="str">
            <v>CV E-01</v>
          </cell>
          <cell r="C426" t="str">
            <v>BM</v>
          </cell>
          <cell r="D426">
            <v>44218</v>
          </cell>
          <cell r="E426">
            <v>0.56458333333333333</v>
          </cell>
          <cell r="F426">
            <v>1.0800000000000001E-2</v>
          </cell>
          <cell r="G426">
            <v>1.0999999999999999E-2</v>
          </cell>
          <cell r="I426">
            <v>1.24E-2</v>
          </cell>
        </row>
        <row r="427">
          <cell r="B427" t="str">
            <v>CHI T-02</v>
          </cell>
          <cell r="C427" t="str">
            <v>ESP</v>
          </cell>
          <cell r="D427">
            <v>44218</v>
          </cell>
          <cell r="E427">
            <v>0.59236111111111112</v>
          </cell>
          <cell r="F427">
            <v>1.12E-2</v>
          </cell>
          <cell r="G427">
            <v>4.4999999999999997E-3</v>
          </cell>
          <cell r="I427">
            <v>4.4999999999999997E-3</v>
          </cell>
        </row>
        <row r="428">
          <cell r="B428" t="str">
            <v>CV-02</v>
          </cell>
          <cell r="C428" t="str">
            <v>ESP</v>
          </cell>
          <cell r="D428">
            <v>44218</v>
          </cell>
          <cell r="E428">
            <v>0.58263888888888882</v>
          </cell>
          <cell r="F428">
            <v>2.3E-3</v>
          </cell>
          <cell r="G428">
            <v>8.0000000000000002E-3</v>
          </cell>
          <cell r="I428">
            <v>1.8E-3</v>
          </cell>
        </row>
        <row r="429">
          <cell r="B429" t="str">
            <v>MN-41</v>
          </cell>
          <cell r="C429" t="str">
            <v>ESP</v>
          </cell>
          <cell r="D429">
            <v>44221</v>
          </cell>
          <cell r="E429">
            <v>0.33680555555555558</v>
          </cell>
          <cell r="F429">
            <v>1.7299999999999999E-2</v>
          </cell>
          <cell r="G429">
            <v>2.7099999999999999E-2</v>
          </cell>
          <cell r="I429">
            <v>6.5000000000000002E-2</v>
          </cell>
        </row>
        <row r="430">
          <cell r="B430" t="str">
            <v>MN-32</v>
          </cell>
          <cell r="C430" t="str">
            <v>ESP</v>
          </cell>
          <cell r="D430">
            <v>44221</v>
          </cell>
          <cell r="E430">
            <v>0.34583333333333338</v>
          </cell>
          <cell r="F430">
            <v>2.0400000000000001E-2</v>
          </cell>
          <cell r="G430">
            <v>5.0900000000000001E-2</v>
          </cell>
          <cell r="I430">
            <v>7.8E-2</v>
          </cell>
        </row>
        <row r="431">
          <cell r="B431" t="str">
            <v>MN-35</v>
          </cell>
          <cell r="C431" t="str">
            <v>ESP</v>
          </cell>
          <cell r="D431">
            <v>44221</v>
          </cell>
          <cell r="E431">
            <v>0.56597222222222221</v>
          </cell>
          <cell r="F431">
            <v>1.14E-2</v>
          </cell>
          <cell r="G431">
            <v>1.9E-2</v>
          </cell>
          <cell r="I431">
            <v>0.1071</v>
          </cell>
        </row>
        <row r="432">
          <cell r="B432" t="str">
            <v>MN-80</v>
          </cell>
          <cell r="C432" t="str">
            <v>ESP</v>
          </cell>
          <cell r="D432">
            <v>44221</v>
          </cell>
          <cell r="E432">
            <v>0.55555555555555558</v>
          </cell>
          <cell r="F432">
            <v>1.84E-2</v>
          </cell>
          <cell r="G432">
            <v>1.9E-2</v>
          </cell>
          <cell r="I432">
            <v>9.9900000000000003E-2</v>
          </cell>
        </row>
        <row r="433">
          <cell r="B433" t="str">
            <v>MN-37</v>
          </cell>
          <cell r="C433" t="str">
            <v>ESP</v>
          </cell>
          <cell r="D433">
            <v>44222</v>
          </cell>
          <cell r="E433">
            <v>0.3215277777777778</v>
          </cell>
          <cell r="F433">
            <v>4.5199999999999997E-2</v>
          </cell>
          <cell r="G433">
            <v>9.0499999999999997E-2</v>
          </cell>
          <cell r="I433">
            <v>6.3100000000000003E-2</v>
          </cell>
        </row>
        <row r="434">
          <cell r="B434" t="str">
            <v>MN-14</v>
          </cell>
          <cell r="C434" t="str">
            <v>ESP</v>
          </cell>
          <cell r="D434">
            <v>44222</v>
          </cell>
          <cell r="E434">
            <v>0.3347222222222222</v>
          </cell>
          <cell r="F434">
            <v>5.8200000000000002E-2</v>
          </cell>
          <cell r="G434">
            <v>0.12590000000000001</v>
          </cell>
          <cell r="I434">
            <v>5.1799999999999999E-2</v>
          </cell>
        </row>
        <row r="435">
          <cell r="B435" t="str">
            <v>MN-87ST</v>
          </cell>
          <cell r="C435" t="str">
            <v>ESP</v>
          </cell>
          <cell r="D435">
            <v>44222</v>
          </cell>
          <cell r="E435">
            <v>0.55277777777777781</v>
          </cell>
          <cell r="F435">
            <v>1.77E-2</v>
          </cell>
          <cell r="G435">
            <v>1.32E-2</v>
          </cell>
          <cell r="I435">
            <v>3.15E-2</v>
          </cell>
        </row>
        <row r="436">
          <cell r="B436" t="str">
            <v>LY-223</v>
          </cell>
          <cell r="C436" t="str">
            <v>ESP</v>
          </cell>
          <cell r="D436">
            <v>44222</v>
          </cell>
          <cell r="E436">
            <v>0.56458333333333333</v>
          </cell>
          <cell r="F436">
            <v>6.6E-3</v>
          </cell>
          <cell r="G436">
            <v>1.8599999999999998E-2</v>
          </cell>
          <cell r="I436">
            <v>3.3500000000000002E-2</v>
          </cell>
        </row>
        <row r="437">
          <cell r="B437" t="str">
            <v>LY-258</v>
          </cell>
          <cell r="C437" t="str">
            <v>ESP</v>
          </cell>
          <cell r="D437">
            <v>44223</v>
          </cell>
          <cell r="E437">
            <v>0.32916666666666666</v>
          </cell>
          <cell r="F437">
            <v>4.4999999999999997E-3</v>
          </cell>
          <cell r="G437">
            <v>6.1000000000000004E-3</v>
          </cell>
          <cell r="I437">
            <v>9.4999999999999998E-3</v>
          </cell>
        </row>
        <row r="438">
          <cell r="B438" t="str">
            <v>LY-227</v>
          </cell>
          <cell r="C438" t="str">
            <v>ESP</v>
          </cell>
          <cell r="D438">
            <v>44223</v>
          </cell>
          <cell r="E438">
            <v>0.34027777777777773</v>
          </cell>
          <cell r="F438">
            <v>4.5100000000000001E-2</v>
          </cell>
          <cell r="G438">
            <v>8.3299999999999999E-2</v>
          </cell>
          <cell r="I438">
            <v>7.9399999999999998E-2</v>
          </cell>
        </row>
        <row r="439">
          <cell r="B439" t="str">
            <v>LY-255</v>
          </cell>
          <cell r="C439" t="str">
            <v>ESP</v>
          </cell>
          <cell r="D439">
            <v>44223</v>
          </cell>
          <cell r="E439">
            <v>0.55833333333333335</v>
          </cell>
          <cell r="F439">
            <v>2.8E-3</v>
          </cell>
          <cell r="G439">
            <v>4.8999999999999998E-3</v>
          </cell>
          <cell r="I439">
            <v>5.5999999999999999E-3</v>
          </cell>
        </row>
        <row r="440">
          <cell r="B440" t="str">
            <v>LY-274</v>
          </cell>
          <cell r="C440" t="str">
            <v>ESP</v>
          </cell>
          <cell r="D440">
            <v>44223</v>
          </cell>
          <cell r="E440">
            <v>0.5625</v>
          </cell>
          <cell r="F440">
            <v>2.69E-2</v>
          </cell>
          <cell r="G440">
            <v>2.8400000000000002E-2</v>
          </cell>
          <cell r="I440">
            <v>5.5100000000000003E-2</v>
          </cell>
        </row>
        <row r="441">
          <cell r="B441" t="str">
            <v>LY-087</v>
          </cell>
          <cell r="C441" t="str">
            <v>ESP</v>
          </cell>
          <cell r="D441">
            <v>44224</v>
          </cell>
          <cell r="E441">
            <v>0.33749999999999997</v>
          </cell>
          <cell r="F441">
            <v>5.1000000000000004E-3</v>
          </cell>
          <cell r="G441">
            <v>3.3999999999999998E-3</v>
          </cell>
          <cell r="I441">
            <v>1.5800000000000002E-2</v>
          </cell>
        </row>
        <row r="442">
          <cell r="B442" t="str">
            <v>LY-287</v>
          </cell>
          <cell r="C442" t="str">
            <v>ESP</v>
          </cell>
          <cell r="D442">
            <v>44224</v>
          </cell>
          <cell r="E442">
            <v>0.34583333333333338</v>
          </cell>
          <cell r="F442">
            <v>9.1899999999999996E-2</v>
          </cell>
          <cell r="G442">
            <v>8.8999999999999996E-2</v>
          </cell>
          <cell r="I442">
            <v>8.09E-2</v>
          </cell>
        </row>
        <row r="443">
          <cell r="B443" t="str">
            <v>LY-174</v>
          </cell>
          <cell r="C443" t="str">
            <v>ESP</v>
          </cell>
          <cell r="D443">
            <v>44224</v>
          </cell>
          <cell r="E443">
            <v>0.55972222222222223</v>
          </cell>
          <cell r="F443">
            <v>0.01</v>
          </cell>
          <cell r="G443">
            <v>1.44E-2</v>
          </cell>
          <cell r="I443">
            <v>1.0699999999999999E-2</v>
          </cell>
        </row>
        <row r="444">
          <cell r="B444" t="str">
            <v>LY-179</v>
          </cell>
          <cell r="C444" t="str">
            <v>ESP</v>
          </cell>
          <cell r="D444">
            <v>44224</v>
          </cell>
          <cell r="E444">
            <v>0.56527777777777777</v>
          </cell>
          <cell r="F444">
            <v>1.7899999999999999E-2</v>
          </cell>
          <cell r="G444">
            <v>1.77E-2</v>
          </cell>
          <cell r="I444">
            <v>2.3900000000000001E-2</v>
          </cell>
        </row>
        <row r="445">
          <cell r="B445" t="str">
            <v>LY-253</v>
          </cell>
          <cell r="C445" t="str">
            <v>ESP</v>
          </cell>
          <cell r="D445">
            <v>44225</v>
          </cell>
          <cell r="E445">
            <v>0.33958333333333335</v>
          </cell>
          <cell r="F445">
            <v>9.7999999999999997E-3</v>
          </cell>
          <cell r="G445">
            <v>1.7100000000000001E-2</v>
          </cell>
          <cell r="I445">
            <v>1.6500000000000001E-2</v>
          </cell>
        </row>
        <row r="446">
          <cell r="B446" t="str">
            <v>LY-132</v>
          </cell>
          <cell r="C446" t="str">
            <v>ESP</v>
          </cell>
          <cell r="D446">
            <v>44225</v>
          </cell>
          <cell r="E446">
            <v>0.33402777777777781</v>
          </cell>
          <cell r="F446">
            <v>6.1999999999999998E-3</v>
          </cell>
          <cell r="G446">
            <v>1.1000000000000001E-3</v>
          </cell>
          <cell r="I446">
            <v>7.9000000000000008E-3</v>
          </cell>
        </row>
        <row r="447">
          <cell r="B447" t="str">
            <v>LY-202</v>
          </cell>
          <cell r="C447" t="str">
            <v>ESP</v>
          </cell>
          <cell r="D447">
            <v>44225</v>
          </cell>
          <cell r="E447">
            <v>0.56458333333333333</v>
          </cell>
          <cell r="F447">
            <v>6.1000000000000004E-3</v>
          </cell>
          <cell r="G447">
            <v>1.55E-2</v>
          </cell>
          <cell r="I447">
            <v>3.0300000000000001E-2</v>
          </cell>
        </row>
        <row r="448">
          <cell r="B448" t="str">
            <v>LY-225</v>
          </cell>
          <cell r="C448" t="str">
            <v>ESP</v>
          </cell>
          <cell r="D448">
            <v>44225</v>
          </cell>
          <cell r="E448">
            <v>0.56666666666666665</v>
          </cell>
          <cell r="F448">
            <v>7.3000000000000001E-3</v>
          </cell>
          <cell r="G448">
            <v>1.52E-2</v>
          </cell>
          <cell r="I448">
            <v>2.3699999999999999E-2</v>
          </cell>
        </row>
        <row r="449">
          <cell r="B449" t="str">
            <v>MN-27</v>
          </cell>
          <cell r="C449" t="str">
            <v>ESP</v>
          </cell>
          <cell r="D449">
            <v>44228</v>
          </cell>
          <cell r="E449">
            <v>0.3263888888888889</v>
          </cell>
          <cell r="F449">
            <v>8.3999999999999995E-3</v>
          </cell>
          <cell r="G449">
            <v>1.52E-2</v>
          </cell>
          <cell r="H449"/>
          <cell r="I449">
            <v>3.4500000000000003E-2</v>
          </cell>
          <cell r="J449"/>
        </row>
        <row r="450">
          <cell r="B450" t="str">
            <v>MN-49</v>
          </cell>
          <cell r="C450" t="str">
            <v>ESP</v>
          </cell>
          <cell r="D450">
            <v>44228</v>
          </cell>
          <cell r="E450">
            <v>0.3354166666666667</v>
          </cell>
          <cell r="F450">
            <v>3.8999999999999998E-3</v>
          </cell>
          <cell r="G450">
            <v>9.5999999999999992E-3</v>
          </cell>
          <cell r="H450"/>
          <cell r="I450">
            <v>6.6E-3</v>
          </cell>
          <cell r="J450"/>
        </row>
        <row r="451">
          <cell r="B451" t="str">
            <v>LY-157</v>
          </cell>
          <cell r="C451" t="str">
            <v>ESP</v>
          </cell>
          <cell r="D451">
            <v>44228</v>
          </cell>
          <cell r="E451">
            <v>0.55555555555555558</v>
          </cell>
          <cell r="F451">
            <v>4.0399999999999998E-2</v>
          </cell>
          <cell r="G451">
            <v>3.4700000000000002E-2</v>
          </cell>
          <cell r="H451"/>
          <cell r="I451">
            <v>2.52E-2</v>
          </cell>
          <cell r="J451"/>
        </row>
        <row r="452">
          <cell r="B452" t="str">
            <v>LY-289</v>
          </cell>
          <cell r="C452" t="str">
            <v>ESP</v>
          </cell>
          <cell r="D452">
            <v>44228</v>
          </cell>
          <cell r="E452">
            <v>0.56111111111111112</v>
          </cell>
          <cell r="F452">
            <v>2.4299999999999999E-2</v>
          </cell>
          <cell r="G452">
            <v>2.5000000000000001E-2</v>
          </cell>
          <cell r="H452"/>
          <cell r="I452">
            <v>3.27E-2</v>
          </cell>
          <cell r="J452"/>
        </row>
        <row r="453">
          <cell r="B453" t="str">
            <v>CY-89</v>
          </cell>
          <cell r="C453" t="str">
            <v>ESP</v>
          </cell>
          <cell r="D453">
            <v>44229</v>
          </cell>
          <cell r="E453">
            <v>0.33055555555555555</v>
          </cell>
          <cell r="F453">
            <v>2.3800000000000002E-2</v>
          </cell>
          <cell r="G453">
            <v>2.9499999999999998E-2</v>
          </cell>
          <cell r="I453">
            <v>1.6E-2</v>
          </cell>
        </row>
        <row r="454">
          <cell r="B454" t="str">
            <v>CY-41</v>
          </cell>
          <cell r="C454" t="str">
            <v>ESP</v>
          </cell>
          <cell r="D454">
            <v>44229</v>
          </cell>
          <cell r="E454">
            <v>0.32430555555555557</v>
          </cell>
          <cell r="F454">
            <v>0.01</v>
          </cell>
          <cell r="G454">
            <v>1.3899999999999999E-2</v>
          </cell>
          <cell r="I454">
            <v>1.9699999999999999E-2</v>
          </cell>
        </row>
        <row r="455">
          <cell r="B455" t="str">
            <v>MN-53</v>
          </cell>
          <cell r="C455" t="str">
            <v>BM</v>
          </cell>
          <cell r="D455">
            <v>44229</v>
          </cell>
          <cell r="E455">
            <v>0.55625000000000002</v>
          </cell>
          <cell r="F455">
            <v>6.8999999999999999E-3</v>
          </cell>
          <cell r="G455">
            <v>2.3900000000000001E-2</v>
          </cell>
          <cell r="I455">
            <v>2.4299999999999999E-2</v>
          </cell>
        </row>
        <row r="456">
          <cell r="B456" t="str">
            <v>MN-71</v>
          </cell>
          <cell r="C456" t="str">
            <v>ESP</v>
          </cell>
          <cell r="D456">
            <v>44229</v>
          </cell>
          <cell r="E456">
            <v>0.56180555555555556</v>
          </cell>
          <cell r="F456">
            <v>1.0699999999999999E-2</v>
          </cell>
          <cell r="G456">
            <v>5.8999999999999999E-3</v>
          </cell>
          <cell r="I456">
            <v>1.06E-2</v>
          </cell>
        </row>
        <row r="457">
          <cell r="B457" t="str">
            <v>MN-82</v>
          </cell>
          <cell r="C457" t="str">
            <v>ESP</v>
          </cell>
          <cell r="D457">
            <v>44230</v>
          </cell>
          <cell r="E457">
            <v>0.31875000000000003</v>
          </cell>
          <cell r="F457">
            <v>7.1400000000000005E-2</v>
          </cell>
          <cell r="G457">
            <v>4.2799999999999998E-2</v>
          </cell>
          <cell r="I457">
            <v>2.1000000000000001E-2</v>
          </cell>
        </row>
        <row r="458">
          <cell r="B458" t="str">
            <v>LY-112</v>
          </cell>
          <cell r="C458" t="str">
            <v>ESP</v>
          </cell>
          <cell r="D458">
            <v>44230</v>
          </cell>
          <cell r="E458">
            <v>0.3354166666666667</v>
          </cell>
          <cell r="F458">
            <v>3.1600000000000003E-2</v>
          </cell>
          <cell r="G458">
            <v>2.58E-2</v>
          </cell>
          <cell r="I458">
            <v>8.0399999999999999E-2</v>
          </cell>
        </row>
        <row r="459">
          <cell r="B459" t="str">
            <v>Muestra No.2</v>
          </cell>
          <cell r="D459">
            <v>44232</v>
          </cell>
          <cell r="E459">
            <v>0.30277777777777776</v>
          </cell>
          <cell r="F459">
            <v>1.21E-2</v>
          </cell>
          <cell r="G459">
            <v>1.37E-2</v>
          </cell>
          <cell r="I459">
            <v>6.9800000000000001E-2</v>
          </cell>
        </row>
        <row r="460">
          <cell r="B460" t="str">
            <v>MN-98</v>
          </cell>
          <cell r="C460" t="str">
            <v>ESP</v>
          </cell>
          <cell r="D460">
            <v>44230</v>
          </cell>
          <cell r="E460">
            <v>0.56736111111111109</v>
          </cell>
          <cell r="F460">
            <v>1.6E-2</v>
          </cell>
          <cell r="G460">
            <v>2.0299999999999999E-2</v>
          </cell>
          <cell r="I460">
            <v>2.5600000000000001E-2</v>
          </cell>
        </row>
        <row r="461">
          <cell r="B461" t="str">
            <v>MN-72</v>
          </cell>
          <cell r="C461" t="str">
            <v>ESP</v>
          </cell>
          <cell r="D461">
            <v>44232</v>
          </cell>
          <cell r="E461">
            <v>0.33055555555555555</v>
          </cell>
          <cell r="F461">
            <v>4.7999999999999996E-3</v>
          </cell>
          <cell r="G461">
            <v>6.4000000000000003E-3</v>
          </cell>
          <cell r="I461">
            <v>1.35E-2</v>
          </cell>
        </row>
        <row r="462">
          <cell r="B462" t="str">
            <v>MN-25</v>
          </cell>
          <cell r="C462" t="str">
            <v>ESP</v>
          </cell>
          <cell r="D462">
            <v>44232</v>
          </cell>
          <cell r="E462">
            <v>0.3520833333333333</v>
          </cell>
          <cell r="F462">
            <v>4.6699999999999998E-2</v>
          </cell>
          <cell r="G462">
            <v>1.6899999999999998E-2</v>
          </cell>
          <cell r="I462">
            <v>0.01</v>
          </cell>
        </row>
        <row r="463">
          <cell r="B463" t="str">
            <v>CY-92</v>
          </cell>
          <cell r="C463" t="str">
            <v>ESP</v>
          </cell>
          <cell r="D463">
            <v>44232</v>
          </cell>
          <cell r="E463">
            <v>0.56736111111111109</v>
          </cell>
          <cell r="F463">
            <v>9.1000000000000004E-3</v>
          </cell>
          <cell r="G463">
            <v>1.35E-2</v>
          </cell>
          <cell r="I463">
            <v>2.9899999999999999E-2</v>
          </cell>
        </row>
        <row r="464">
          <cell r="B464" t="str">
            <v>CY-28</v>
          </cell>
          <cell r="C464" t="str">
            <v>ESP</v>
          </cell>
          <cell r="D464">
            <v>44232</v>
          </cell>
          <cell r="E464">
            <v>0.57222222222222219</v>
          </cell>
          <cell r="F464">
            <v>8.8000000000000005E-3</v>
          </cell>
          <cell r="G464">
            <v>9.4000000000000004E-3</v>
          </cell>
          <cell r="I464">
            <v>1.66E-2</v>
          </cell>
        </row>
        <row r="465">
          <cell r="B465" t="str">
            <v>CH-09</v>
          </cell>
          <cell r="C465" t="str">
            <v>ESP</v>
          </cell>
          <cell r="D465">
            <v>44235</v>
          </cell>
          <cell r="E465">
            <v>0.39513888888888887</v>
          </cell>
          <cell r="F465">
            <v>3.0300000000000001E-2</v>
          </cell>
          <cell r="G465">
            <v>2.1700000000000001E-2</v>
          </cell>
          <cell r="I465">
            <v>5.8900000000000001E-2</v>
          </cell>
        </row>
        <row r="466">
          <cell r="C466" t="str">
            <v>MUESTRA NO.2</v>
          </cell>
          <cell r="D466">
            <v>44236</v>
          </cell>
          <cell r="E466">
            <v>0.33888888888888885</v>
          </cell>
          <cell r="F466">
            <v>5.3E-3</v>
          </cell>
          <cell r="G466">
            <v>7.4999999999999997E-3</v>
          </cell>
          <cell r="I466">
            <v>3.3300000000000003E-2</v>
          </cell>
        </row>
        <row r="467">
          <cell r="B467" t="str">
            <v>CH-03</v>
          </cell>
          <cell r="C467" t="str">
            <v>ESP</v>
          </cell>
          <cell r="D467">
            <v>44235</v>
          </cell>
          <cell r="E467">
            <v>0.3923611111111111</v>
          </cell>
          <cell r="F467">
            <v>1.3299999999999999E-2</v>
          </cell>
          <cell r="G467">
            <v>9.9000000000000008E-3</v>
          </cell>
          <cell r="I467">
            <v>8.3799999999999999E-2</v>
          </cell>
        </row>
        <row r="468">
          <cell r="C468" t="str">
            <v>MUESTRA NO.2</v>
          </cell>
          <cell r="D468">
            <v>44236</v>
          </cell>
          <cell r="E468">
            <v>0.33958333333333335</v>
          </cell>
          <cell r="F468">
            <v>1.37E-2</v>
          </cell>
          <cell r="G468">
            <v>1.2E-2</v>
          </cell>
          <cell r="I468">
            <v>0.1061</v>
          </cell>
        </row>
        <row r="469">
          <cell r="B469" t="str">
            <v>CH-16</v>
          </cell>
          <cell r="C469" t="str">
            <v>ESP</v>
          </cell>
          <cell r="D469">
            <v>44236</v>
          </cell>
          <cell r="E469">
            <v>0.35833333333333334</v>
          </cell>
          <cell r="F469">
            <v>9.4000000000000004E-3</v>
          </cell>
          <cell r="G469">
            <v>4.7999999999999996E-3</v>
          </cell>
          <cell r="I469">
            <v>3.0499999999999999E-2</v>
          </cell>
        </row>
        <row r="470">
          <cell r="C470" t="str">
            <v>MUESTRA NO.2</v>
          </cell>
          <cell r="D470">
            <v>44237</v>
          </cell>
          <cell r="E470">
            <v>0.39513888888888887</v>
          </cell>
          <cell r="F470">
            <v>1.66E-2</v>
          </cell>
          <cell r="G470">
            <v>9.9000000000000008E-3</v>
          </cell>
          <cell r="I470">
            <v>8.3000000000000001E-3</v>
          </cell>
        </row>
        <row r="471">
          <cell r="B471" t="str">
            <v>CH-27</v>
          </cell>
          <cell r="C471" t="str">
            <v>ESP</v>
          </cell>
          <cell r="D471">
            <v>44236</v>
          </cell>
          <cell r="E471">
            <v>0.3527777777777778</v>
          </cell>
          <cell r="F471">
            <v>1.11E-2</v>
          </cell>
          <cell r="G471">
            <v>3.15E-2</v>
          </cell>
          <cell r="I471">
            <v>4.2700000000000002E-2</v>
          </cell>
        </row>
        <row r="472">
          <cell r="D472">
            <v>44237</v>
          </cell>
          <cell r="E472">
            <v>0.3972222222222222</v>
          </cell>
          <cell r="F472">
            <v>5.4999999999999997E-3</v>
          </cell>
          <cell r="G472">
            <v>3.7000000000000002E-3</v>
          </cell>
          <cell r="I472">
            <v>6.7000000000000002E-3</v>
          </cell>
        </row>
        <row r="473">
          <cell r="B473" t="str">
            <v>MN-X03</v>
          </cell>
          <cell r="C473" t="str">
            <v>ESP</v>
          </cell>
          <cell r="D473">
            <v>44237</v>
          </cell>
          <cell r="E473">
            <v>0.54027777777777775</v>
          </cell>
          <cell r="F473">
            <v>1.18E-2</v>
          </cell>
          <cell r="G473">
            <v>1.12E-2</v>
          </cell>
          <cell r="I473">
            <v>1.15E-2</v>
          </cell>
        </row>
        <row r="474">
          <cell r="B474" t="str">
            <v>MN-X02</v>
          </cell>
          <cell r="C474" t="str">
            <v>ESP</v>
          </cell>
          <cell r="D474">
            <v>44237</v>
          </cell>
          <cell r="E474">
            <v>0.54722222222222217</v>
          </cell>
          <cell r="F474">
            <v>3.3999999999999998E-3</v>
          </cell>
          <cell r="G474">
            <v>2.0999999999999999E-3</v>
          </cell>
          <cell r="I474">
            <v>4.7999999999999996E-3</v>
          </cell>
        </row>
        <row r="475">
          <cell r="B475" t="str">
            <v>CY-87</v>
          </cell>
          <cell r="C475" t="str">
            <v>ESP</v>
          </cell>
          <cell r="D475">
            <v>44238</v>
          </cell>
          <cell r="E475">
            <v>0.33819444444444446</v>
          </cell>
          <cell r="F475">
            <v>1.3599999999999999E-2</v>
          </cell>
          <cell r="G475">
            <v>2.0199999999999999E-2</v>
          </cell>
          <cell r="I475">
            <v>2.0500000000000001E-2</v>
          </cell>
        </row>
        <row r="476">
          <cell r="B476" t="str">
            <v>MN-48</v>
          </cell>
          <cell r="C476" t="str">
            <v>ESP</v>
          </cell>
          <cell r="D476">
            <v>44238</v>
          </cell>
          <cell r="E476">
            <v>0.34652777777777777</v>
          </cell>
          <cell r="F476">
            <v>8.6999999999999994E-3</v>
          </cell>
          <cell r="G476">
            <v>3.8E-3</v>
          </cell>
          <cell r="I476">
            <v>4.1000000000000003E-3</v>
          </cell>
        </row>
        <row r="477">
          <cell r="B477" t="str">
            <v>REX NE-04</v>
          </cell>
          <cell r="C477" t="str">
            <v>ESP</v>
          </cell>
          <cell r="D477">
            <v>44239</v>
          </cell>
          <cell r="E477">
            <v>0.28819444444444448</v>
          </cell>
          <cell r="F477">
            <v>1.6199999999999999E-2</v>
          </cell>
          <cell r="G477">
            <v>1.4200000000000001E-2</v>
          </cell>
          <cell r="I477">
            <v>1.29E-2</v>
          </cell>
        </row>
        <row r="478">
          <cell r="C478" t="str">
            <v>MUESTRA NO.2</v>
          </cell>
          <cell r="D478">
            <v>44242</v>
          </cell>
          <cell r="E478">
            <v>0.27499999999999997</v>
          </cell>
          <cell r="F478">
            <v>9.5999999999999992E-3</v>
          </cell>
          <cell r="G478">
            <v>3.1899999999999998E-2</v>
          </cell>
          <cell r="I478">
            <v>3.27E-2</v>
          </cell>
        </row>
        <row r="479">
          <cell r="B479" t="str">
            <v>REX NE-02ST</v>
          </cell>
          <cell r="C479" t="str">
            <v>ESP</v>
          </cell>
          <cell r="D479">
            <v>44239</v>
          </cell>
          <cell r="E479">
            <v>0.2902777777777778</v>
          </cell>
          <cell r="F479">
            <v>6.4999999999999997E-3</v>
          </cell>
          <cell r="G479">
            <v>5.7999999999999996E-3</v>
          </cell>
          <cell r="I479">
            <v>1.7299999999999999E-2</v>
          </cell>
        </row>
        <row r="480">
          <cell r="C480" t="str">
            <v>MUESTRA NO.2</v>
          </cell>
          <cell r="D480">
            <v>44242</v>
          </cell>
          <cell r="E480">
            <v>0.27986111111111112</v>
          </cell>
          <cell r="F480">
            <v>7.3000000000000001E-3</v>
          </cell>
          <cell r="G480">
            <v>2.6100000000000002E-2</v>
          </cell>
          <cell r="I480">
            <v>5.9299999999999999E-2</v>
          </cell>
        </row>
        <row r="481">
          <cell r="B481" t="str">
            <v>CY-15</v>
          </cell>
          <cell r="C481" t="str">
            <v>ESP</v>
          </cell>
          <cell r="D481">
            <v>44242</v>
          </cell>
          <cell r="E481">
            <v>0.38263888888888892</v>
          </cell>
          <cell r="F481">
            <v>3.8E-3</v>
          </cell>
          <cell r="G481">
            <v>1.5100000000000001E-2</v>
          </cell>
          <cell r="I481">
            <v>3.5999999999999999E-3</v>
          </cell>
        </row>
        <row r="482">
          <cell r="B482" t="str">
            <v>CY-84</v>
          </cell>
          <cell r="C482" t="str">
            <v>ESP</v>
          </cell>
          <cell r="D482">
            <v>44242</v>
          </cell>
          <cell r="E482">
            <v>0.3979166666666667</v>
          </cell>
          <cell r="F482">
            <v>7.6300000000000007E-2</v>
          </cell>
          <cell r="G482">
            <v>3.1800000000000002E-2</v>
          </cell>
          <cell r="I482">
            <v>1.0699999999999999E-2</v>
          </cell>
        </row>
        <row r="483">
          <cell r="B483" t="str">
            <v>CY-91</v>
          </cell>
          <cell r="C483" t="str">
            <v>ESP</v>
          </cell>
          <cell r="D483">
            <v>44242</v>
          </cell>
          <cell r="E483">
            <v>0.58124999999999993</v>
          </cell>
          <cell r="F483">
            <v>2.0400000000000001E-2</v>
          </cell>
          <cell r="G483">
            <v>1.38E-2</v>
          </cell>
          <cell r="I483">
            <v>4.5999999999999999E-2</v>
          </cell>
        </row>
        <row r="484">
          <cell r="B484" t="str">
            <v>CY-82</v>
          </cell>
          <cell r="C484" t="str">
            <v>ESP</v>
          </cell>
          <cell r="D484">
            <v>44242</v>
          </cell>
          <cell r="E484">
            <v>0.58680555555555558</v>
          </cell>
          <cell r="F484">
            <v>2.41E-2</v>
          </cell>
          <cell r="G484">
            <v>1.01E-2</v>
          </cell>
          <cell r="I484">
            <v>1.67E-2</v>
          </cell>
        </row>
        <row r="485">
          <cell r="B485" t="str">
            <v>LY-239</v>
          </cell>
          <cell r="C485" t="str">
            <v>ESP</v>
          </cell>
          <cell r="D485">
            <v>44243</v>
          </cell>
          <cell r="E485">
            <v>0.33402777777777781</v>
          </cell>
          <cell r="F485">
            <v>8.0000000000000002E-3</v>
          </cell>
          <cell r="G485">
            <v>4.7000000000000002E-3</v>
          </cell>
          <cell r="I485">
            <v>3.0999999999999999E-3</v>
          </cell>
        </row>
        <row r="486">
          <cell r="B486" t="str">
            <v>LY-236</v>
          </cell>
          <cell r="C486" t="str">
            <v>ESP</v>
          </cell>
          <cell r="D486">
            <v>44243</v>
          </cell>
          <cell r="E486">
            <v>0.33958333333333335</v>
          </cell>
          <cell r="F486">
            <v>5.8999999999999999E-3</v>
          </cell>
          <cell r="G486">
            <v>6.6E-3</v>
          </cell>
          <cell r="I486">
            <v>1.21E-2</v>
          </cell>
        </row>
        <row r="487">
          <cell r="B487" t="str">
            <v>LY-259</v>
          </cell>
          <cell r="C487" t="str">
            <v>ESP</v>
          </cell>
          <cell r="D487">
            <v>44243</v>
          </cell>
          <cell r="E487">
            <v>0.56111111111111112</v>
          </cell>
          <cell r="F487">
            <v>4.3299999999999998E-2</v>
          </cell>
          <cell r="G487">
            <v>8.9800000000000005E-2</v>
          </cell>
          <cell r="I487">
            <v>2.29E-2</v>
          </cell>
        </row>
        <row r="488">
          <cell r="B488" t="str">
            <v>LY-186</v>
          </cell>
          <cell r="C488" t="str">
            <v>ESP</v>
          </cell>
          <cell r="D488">
            <v>44243</v>
          </cell>
          <cell r="E488">
            <v>0.56736111111111109</v>
          </cell>
          <cell r="F488">
            <v>2.8999999999999998E-3</v>
          </cell>
          <cell r="G488">
            <v>7.0000000000000001E-3</v>
          </cell>
          <cell r="I488">
            <v>1.23E-2</v>
          </cell>
        </row>
        <row r="489">
          <cell r="B489" t="str">
            <v>LY-277</v>
          </cell>
          <cell r="C489" t="str">
            <v>BM</v>
          </cell>
          <cell r="D489">
            <v>44244</v>
          </cell>
          <cell r="E489">
            <v>0.33958333333333335</v>
          </cell>
          <cell r="F489">
            <v>8.6E-3</v>
          </cell>
          <cell r="G489">
            <v>1.66E-2</v>
          </cell>
          <cell r="I489">
            <v>7.1000000000000004E-3</v>
          </cell>
        </row>
        <row r="490">
          <cell r="B490" t="str">
            <v>LY-260</v>
          </cell>
          <cell r="C490" t="str">
            <v>ESP</v>
          </cell>
          <cell r="D490">
            <v>44244</v>
          </cell>
          <cell r="E490">
            <v>0.34861111111111115</v>
          </cell>
          <cell r="F490">
            <v>4.1999999999999997E-3</v>
          </cell>
          <cell r="G490">
            <v>3.8999999999999998E-3</v>
          </cell>
          <cell r="I490">
            <v>7.6E-3</v>
          </cell>
        </row>
        <row r="491">
          <cell r="B491" t="str">
            <v>LY-233</v>
          </cell>
          <cell r="C491" t="str">
            <v>ESP</v>
          </cell>
          <cell r="D491">
            <v>44244</v>
          </cell>
          <cell r="E491">
            <v>0.55833333333333335</v>
          </cell>
          <cell r="F491">
            <v>1.0200000000000001E-2</v>
          </cell>
          <cell r="G491">
            <v>0.03</v>
          </cell>
          <cell r="I491">
            <v>2.4199999999999999E-2</v>
          </cell>
        </row>
        <row r="492">
          <cell r="B492" t="str">
            <v>LY-251</v>
          </cell>
          <cell r="C492" t="str">
            <v>ESP</v>
          </cell>
          <cell r="D492">
            <v>44244</v>
          </cell>
          <cell r="E492">
            <v>0.56388888888888888</v>
          </cell>
          <cell r="F492">
            <v>1.32E-2</v>
          </cell>
          <cell r="G492">
            <v>1.9E-2</v>
          </cell>
          <cell r="I492">
            <v>2.92E-2</v>
          </cell>
        </row>
        <row r="493">
          <cell r="B493" t="str">
            <v>LY-64</v>
          </cell>
          <cell r="C493" t="str">
            <v>ESP</v>
          </cell>
          <cell r="D493">
            <v>44245</v>
          </cell>
          <cell r="E493">
            <v>0.33958333333333335</v>
          </cell>
          <cell r="F493">
            <v>4.0000000000000001E-3</v>
          </cell>
          <cell r="G493">
            <v>5.5999999999999999E-3</v>
          </cell>
          <cell r="I493">
            <v>7.1000000000000004E-3</v>
          </cell>
        </row>
        <row r="494">
          <cell r="B494" t="str">
            <v>LY-66</v>
          </cell>
          <cell r="C494" t="str">
            <v>ESP</v>
          </cell>
          <cell r="D494">
            <v>44245</v>
          </cell>
          <cell r="E494">
            <v>0.34513888888888888</v>
          </cell>
          <cell r="F494">
            <v>3.56E-2</v>
          </cell>
          <cell r="G494">
            <v>4.07E-2</v>
          </cell>
          <cell r="I494">
            <v>2.63E-2</v>
          </cell>
        </row>
        <row r="495">
          <cell r="B495" t="str">
            <v>LY-088</v>
          </cell>
          <cell r="C495" t="str">
            <v>ESP</v>
          </cell>
          <cell r="D495">
            <v>44245</v>
          </cell>
          <cell r="E495">
            <v>0.55972222222222223</v>
          </cell>
          <cell r="F495">
            <v>1.78E-2</v>
          </cell>
          <cell r="G495">
            <v>4.0099999999999997E-2</v>
          </cell>
          <cell r="I495">
            <v>6.1899999999999997E-2</v>
          </cell>
        </row>
        <row r="496">
          <cell r="B496" t="str">
            <v>LY-100</v>
          </cell>
          <cell r="C496" t="str">
            <v>ESP</v>
          </cell>
          <cell r="D496">
            <v>44245</v>
          </cell>
          <cell r="E496">
            <v>0.56388888888888888</v>
          </cell>
          <cell r="F496">
            <v>1.83E-2</v>
          </cell>
          <cell r="G496">
            <v>7.1300000000000002E-2</v>
          </cell>
          <cell r="I496">
            <v>0.28720000000000001</v>
          </cell>
        </row>
        <row r="497">
          <cell r="B497" t="str">
            <v>LY-207</v>
          </cell>
          <cell r="C497" t="str">
            <v>ESP</v>
          </cell>
          <cell r="D497">
            <v>44246</v>
          </cell>
          <cell r="E497">
            <v>0.32916666666666666</v>
          </cell>
          <cell r="F497">
            <v>4.8999999999999998E-3</v>
          </cell>
          <cell r="G497">
            <v>6.3E-3</v>
          </cell>
          <cell r="I497">
            <v>1.2699999999999999E-2</v>
          </cell>
        </row>
        <row r="498">
          <cell r="B498" t="str">
            <v>LY-196</v>
          </cell>
          <cell r="C498" t="str">
            <v>ESP</v>
          </cell>
          <cell r="D498">
            <v>44246</v>
          </cell>
          <cell r="E498">
            <v>0.33263888888888887</v>
          </cell>
          <cell r="F498">
            <v>5.9499999999999997E-2</v>
          </cell>
          <cell r="G498">
            <v>1.55E-2</v>
          </cell>
          <cell r="I498">
            <v>1.38E-2</v>
          </cell>
        </row>
        <row r="499">
          <cell r="B499" t="str">
            <v>LY-246</v>
          </cell>
          <cell r="C499" t="str">
            <v>BM</v>
          </cell>
          <cell r="D499">
            <v>44249</v>
          </cell>
          <cell r="E499">
            <v>0.34722222222222227</v>
          </cell>
          <cell r="F499">
            <v>6.7999999999999996E-3</v>
          </cell>
          <cell r="G499">
            <v>4.5999999999999999E-3</v>
          </cell>
          <cell r="I499">
            <v>1.84E-2</v>
          </cell>
        </row>
        <row r="500">
          <cell r="B500" t="str">
            <v>LY-115</v>
          </cell>
          <cell r="C500" t="str">
            <v>ESP</v>
          </cell>
          <cell r="D500">
            <v>44249</v>
          </cell>
          <cell r="E500">
            <v>0.3520833333333333</v>
          </cell>
          <cell r="F500">
            <v>8.5999999999999993E-2</v>
          </cell>
          <cell r="G500">
            <v>1.5699999999999999E-2</v>
          </cell>
          <cell r="I500">
            <v>1.41E-2</v>
          </cell>
        </row>
        <row r="501">
          <cell r="B501" t="str">
            <v>LY-212</v>
          </cell>
          <cell r="C501" t="str">
            <v>ESP</v>
          </cell>
          <cell r="D501">
            <v>44249</v>
          </cell>
          <cell r="E501">
            <v>0.56597222222222221</v>
          </cell>
          <cell r="F501">
            <v>2.5000000000000001E-3</v>
          </cell>
          <cell r="G501">
            <v>8.72E-2</v>
          </cell>
          <cell r="I501">
            <v>1.23E-2</v>
          </cell>
        </row>
        <row r="502">
          <cell r="B502" t="str">
            <v>LY-267</v>
          </cell>
          <cell r="C502" t="str">
            <v>ESP</v>
          </cell>
          <cell r="D502">
            <v>44249</v>
          </cell>
          <cell r="E502">
            <v>0.57013888888888886</v>
          </cell>
          <cell r="F502">
            <v>1.24E-2</v>
          </cell>
          <cell r="G502">
            <v>1.43E-2</v>
          </cell>
          <cell r="I502">
            <v>1.0800000000000001E-2</v>
          </cell>
        </row>
        <row r="503">
          <cell r="B503" t="str">
            <v>LY-122</v>
          </cell>
          <cell r="C503" t="str">
            <v>BM</v>
          </cell>
          <cell r="D503">
            <v>44250</v>
          </cell>
          <cell r="E503">
            <v>0.3430555555555555</v>
          </cell>
          <cell r="F503">
            <v>4.7000000000000002E-3</v>
          </cell>
          <cell r="G503">
            <v>3.5000000000000003E-2</v>
          </cell>
          <cell r="I503">
            <v>0.32929999999999998</v>
          </cell>
        </row>
        <row r="504">
          <cell r="B504" t="str">
            <v>LY-27</v>
          </cell>
          <cell r="C504" t="str">
            <v>ESP</v>
          </cell>
          <cell r="D504">
            <v>44250</v>
          </cell>
          <cell r="E504">
            <v>0.35000000000000003</v>
          </cell>
          <cell r="F504">
            <v>3.5000000000000001E-3</v>
          </cell>
          <cell r="G504">
            <v>1.6E-2</v>
          </cell>
          <cell r="I504">
            <v>0.1004</v>
          </cell>
        </row>
        <row r="505">
          <cell r="B505" t="str">
            <v>LY-55</v>
          </cell>
          <cell r="C505" t="str">
            <v>ESP</v>
          </cell>
          <cell r="D505">
            <v>44250</v>
          </cell>
          <cell r="E505">
            <v>0.56874999999999998</v>
          </cell>
          <cell r="F505">
            <v>1.8700000000000001E-2</v>
          </cell>
          <cell r="G505">
            <v>2.9000000000000001E-2</v>
          </cell>
          <cell r="I505">
            <v>0.2515</v>
          </cell>
        </row>
        <row r="506">
          <cell r="B506" t="str">
            <v>LY-67</v>
          </cell>
          <cell r="C506" t="str">
            <v>ESP</v>
          </cell>
          <cell r="D506">
            <v>44250</v>
          </cell>
          <cell r="E506">
            <v>0.5756944444444444</v>
          </cell>
          <cell r="F506">
            <v>2.53E-2</v>
          </cell>
          <cell r="G506">
            <v>0.1062</v>
          </cell>
          <cell r="I506">
            <v>0.24909999999999999</v>
          </cell>
        </row>
        <row r="507">
          <cell r="B507" t="str">
            <v>LY-184</v>
          </cell>
          <cell r="C507" t="str">
            <v>ESP</v>
          </cell>
          <cell r="D507">
            <v>44251</v>
          </cell>
          <cell r="E507">
            <v>0.35833333333333334</v>
          </cell>
          <cell r="F507">
            <v>3.5000000000000001E-3</v>
          </cell>
          <cell r="G507">
            <v>1.01E-2</v>
          </cell>
          <cell r="I507">
            <v>1.8800000000000001E-2</v>
          </cell>
        </row>
        <row r="508">
          <cell r="B508" t="str">
            <v>LY-241 H</v>
          </cell>
          <cell r="C508" t="str">
            <v>ESP</v>
          </cell>
          <cell r="D508">
            <v>44251</v>
          </cell>
          <cell r="E508">
            <v>0.3659722222222222</v>
          </cell>
          <cell r="F508">
            <v>2.7E-2</v>
          </cell>
          <cell r="G508">
            <v>9.2200000000000004E-2</v>
          </cell>
          <cell r="I508">
            <v>6.4000000000000003E-3</v>
          </cell>
        </row>
        <row r="509">
          <cell r="B509" t="str">
            <v>MN-89</v>
          </cell>
          <cell r="C509" t="str">
            <v>ESP</v>
          </cell>
          <cell r="D509">
            <v>44251</v>
          </cell>
          <cell r="E509">
            <v>0.57430555555555551</v>
          </cell>
          <cell r="F509">
            <v>3.9899999999999998E-2</v>
          </cell>
          <cell r="G509">
            <v>2.8000000000000001E-2</v>
          </cell>
          <cell r="I509">
            <v>0.40479999999999999</v>
          </cell>
        </row>
        <row r="510">
          <cell r="B510" t="str">
            <v>MN-93</v>
          </cell>
          <cell r="C510" t="str">
            <v>ESP</v>
          </cell>
          <cell r="D510">
            <v>44251</v>
          </cell>
          <cell r="E510">
            <v>0.56597222222222221</v>
          </cell>
          <cell r="F510">
            <v>5.8799999999999998E-2</v>
          </cell>
          <cell r="G510">
            <v>0.15920000000000001</v>
          </cell>
          <cell r="I510">
            <v>0.1129</v>
          </cell>
        </row>
        <row r="511">
          <cell r="B511" t="str">
            <v>MN-65</v>
          </cell>
          <cell r="C511" t="str">
            <v>ESP</v>
          </cell>
          <cell r="D511">
            <v>44252</v>
          </cell>
          <cell r="E511">
            <v>0.35138888888888892</v>
          </cell>
          <cell r="F511">
            <v>0.03</v>
          </cell>
          <cell r="G511">
            <v>7.0900000000000005E-2</v>
          </cell>
          <cell r="I511">
            <v>7.8E-2</v>
          </cell>
        </row>
        <row r="512">
          <cell r="B512" t="str">
            <v>MN-17</v>
          </cell>
          <cell r="C512" t="str">
            <v>ESP</v>
          </cell>
          <cell r="D512">
            <v>44252</v>
          </cell>
          <cell r="E512">
            <v>0.37361111111111112</v>
          </cell>
          <cell r="F512">
            <v>1.6199999999999999E-2</v>
          </cell>
          <cell r="G512">
            <v>2.9399999999999999E-2</v>
          </cell>
          <cell r="I512">
            <v>3.3399999999999999E-2</v>
          </cell>
        </row>
        <row r="513">
          <cell r="B513" t="str">
            <v>MN-29</v>
          </cell>
          <cell r="C513" t="str">
            <v>ESP</v>
          </cell>
          <cell r="D513">
            <v>44252</v>
          </cell>
          <cell r="E513">
            <v>0.57152777777777775</v>
          </cell>
          <cell r="F513">
            <v>6.83E-2</v>
          </cell>
          <cell r="G513">
            <v>2.6599999999999999E-2</v>
          </cell>
          <cell r="I513">
            <v>2.07E-2</v>
          </cell>
        </row>
        <row r="514">
          <cell r="B514" t="str">
            <v>MN-95</v>
          </cell>
          <cell r="C514" t="str">
            <v>ESP</v>
          </cell>
          <cell r="D514">
            <v>44252</v>
          </cell>
          <cell r="E514">
            <v>0.57777777777777783</v>
          </cell>
          <cell r="F514">
            <v>2.3099999999999999E-2</v>
          </cell>
          <cell r="G514">
            <v>6.54E-2</v>
          </cell>
          <cell r="I514">
            <v>4.7800000000000002E-2</v>
          </cell>
        </row>
        <row r="515">
          <cell r="B515" t="str">
            <v>LY-270</v>
          </cell>
          <cell r="C515" t="str">
            <v>ESP</v>
          </cell>
          <cell r="D515">
            <v>44253</v>
          </cell>
          <cell r="E515">
            <v>0.34861111111111115</v>
          </cell>
          <cell r="F515">
            <v>5.62E-2</v>
          </cell>
          <cell r="G515">
            <v>9.5200000000000007E-2</v>
          </cell>
          <cell r="I515">
            <v>3.3700000000000001E-2</v>
          </cell>
        </row>
        <row r="516">
          <cell r="B516" t="str">
            <v>LY-55</v>
          </cell>
          <cell r="C516" t="str">
            <v>ESP</v>
          </cell>
          <cell r="D516">
            <v>44253</v>
          </cell>
          <cell r="E516">
            <v>0.35347222222222219</v>
          </cell>
          <cell r="F516">
            <v>4.53E-2</v>
          </cell>
          <cell r="G516">
            <v>3.0099999999999998E-2</v>
          </cell>
          <cell r="I516">
            <v>0.1132</v>
          </cell>
        </row>
        <row r="517">
          <cell r="C517" t="str">
            <v>MUESTRA NO.2</v>
          </cell>
          <cell r="D517">
            <v>44254</v>
          </cell>
          <cell r="E517">
            <v>0.29236111111111113</v>
          </cell>
          <cell r="F517">
            <v>4.1000000000000002E-2</v>
          </cell>
          <cell r="G517">
            <v>8.7599999999999997E-2</v>
          </cell>
          <cell r="I517">
            <v>0.49890000000000001</v>
          </cell>
        </row>
        <row r="518">
          <cell r="B518" t="str">
            <v>LY-70</v>
          </cell>
          <cell r="C518" t="str">
            <v>ESP</v>
          </cell>
          <cell r="D518">
            <v>44253</v>
          </cell>
          <cell r="E518">
            <v>0.55763888888888891</v>
          </cell>
          <cell r="F518">
            <v>7.4200000000000002E-2</v>
          </cell>
          <cell r="G518">
            <v>6.5299999999999997E-2</v>
          </cell>
          <cell r="I518">
            <v>3.0499999999999999E-2</v>
          </cell>
        </row>
        <row r="519">
          <cell r="B519" t="str">
            <v>LY-159</v>
          </cell>
          <cell r="C519" t="str">
            <v>ESP</v>
          </cell>
          <cell r="D519">
            <v>44256</v>
          </cell>
          <cell r="E519">
            <v>0.34513888888888888</v>
          </cell>
          <cell r="F519">
            <v>8.9999999999999993E-3</v>
          </cell>
          <cell r="G519">
            <v>1.6E-2</v>
          </cell>
          <cell r="I519">
            <v>6.8599999999999994E-2</v>
          </cell>
        </row>
        <row r="520">
          <cell r="B520" t="str">
            <v>LY-104</v>
          </cell>
          <cell r="C520" t="str">
            <v>ESP</v>
          </cell>
          <cell r="D520">
            <v>44256</v>
          </cell>
          <cell r="E520">
            <v>0.3520833333333333</v>
          </cell>
          <cell r="F520">
            <v>6.0499999999999998E-2</v>
          </cell>
          <cell r="G520">
            <v>3.3000000000000002E-2</v>
          </cell>
          <cell r="I520">
            <v>9.3600000000000003E-2</v>
          </cell>
        </row>
        <row r="521">
          <cell r="B521" t="str">
            <v>LY-136</v>
          </cell>
          <cell r="C521" t="str">
            <v>ESP</v>
          </cell>
          <cell r="D521">
            <v>44256</v>
          </cell>
          <cell r="E521">
            <v>0.3576388888888889</v>
          </cell>
          <cell r="F521">
            <v>1.01E-2</v>
          </cell>
          <cell r="G521">
            <v>1.7000000000000001E-2</v>
          </cell>
          <cell r="H521"/>
          <cell r="I521">
            <v>1.1900000000000001E-2</v>
          </cell>
          <cell r="J521"/>
        </row>
        <row r="522">
          <cell r="B522" t="str">
            <v>CL-51</v>
          </cell>
          <cell r="C522" t="str">
            <v>ESP</v>
          </cell>
          <cell r="D522">
            <v>44256</v>
          </cell>
          <cell r="E522">
            <v>0.55902777777777779</v>
          </cell>
          <cell r="F522">
            <v>1.1299999999999999E-2</v>
          </cell>
          <cell r="G522">
            <v>5.3E-3</v>
          </cell>
          <cell r="I522">
            <v>1.23E-2</v>
          </cell>
        </row>
        <row r="523">
          <cell r="B523" t="str">
            <v>MN-97</v>
          </cell>
          <cell r="C523" t="str">
            <v>ESP</v>
          </cell>
          <cell r="D523">
            <v>44256</v>
          </cell>
          <cell r="E523">
            <v>0.56597222222222221</v>
          </cell>
          <cell r="F523">
            <v>4.7800000000000002E-2</v>
          </cell>
          <cell r="G523">
            <v>5.0900000000000001E-2</v>
          </cell>
          <cell r="I523">
            <v>4.3900000000000002E-2</v>
          </cell>
        </row>
        <row r="524">
          <cell r="B524" t="str">
            <v>MN-99</v>
          </cell>
          <cell r="C524" t="str">
            <v>ESP</v>
          </cell>
          <cell r="D524">
            <v>44256</v>
          </cell>
          <cell r="E524">
            <v>0.57291666666666663</v>
          </cell>
          <cell r="F524">
            <v>3.1399999999999997E-2</v>
          </cell>
          <cell r="G524">
            <v>0.1152</v>
          </cell>
          <cell r="I524">
            <v>2.4899999999999999E-2</v>
          </cell>
        </row>
        <row r="525">
          <cell r="B525" t="str">
            <v>MN-06</v>
          </cell>
          <cell r="C525" t="str">
            <v>ESP</v>
          </cell>
          <cell r="D525">
            <v>44257</v>
          </cell>
          <cell r="E525">
            <v>0.34375</v>
          </cell>
          <cell r="F525">
            <v>8.8800000000000004E-2</v>
          </cell>
          <cell r="G525">
            <v>8.7300000000000003E-2</v>
          </cell>
          <cell r="I525">
            <v>3.32E-2</v>
          </cell>
        </row>
        <row r="526">
          <cell r="B526" t="str">
            <v>MN-55</v>
          </cell>
          <cell r="C526" t="str">
            <v>ESP</v>
          </cell>
          <cell r="D526">
            <v>44257</v>
          </cell>
          <cell r="E526">
            <v>0.34861111111111115</v>
          </cell>
          <cell r="F526">
            <v>5.7999999999999996E-3</v>
          </cell>
          <cell r="G526">
            <v>4.7999999999999996E-3</v>
          </cell>
          <cell r="I526">
            <v>1.32E-2</v>
          </cell>
        </row>
        <row r="527">
          <cell r="B527" t="str">
            <v>MN-66</v>
          </cell>
          <cell r="C527" t="str">
            <v>ESP</v>
          </cell>
          <cell r="D527">
            <v>44257</v>
          </cell>
          <cell r="E527">
            <v>0.3576388888888889</v>
          </cell>
          <cell r="F527">
            <v>7.4700000000000003E-2</v>
          </cell>
          <cell r="G527">
            <v>8.1100000000000005E-2</v>
          </cell>
          <cell r="I527">
            <v>6.0400000000000002E-2</v>
          </cell>
        </row>
        <row r="528">
          <cell r="B528" t="str">
            <v>MN-79</v>
          </cell>
          <cell r="C528" t="str">
            <v>ESP</v>
          </cell>
          <cell r="D528">
            <v>44257</v>
          </cell>
          <cell r="E528">
            <v>0.5625</v>
          </cell>
          <cell r="F528">
            <v>9.7999999999999997E-3</v>
          </cell>
          <cell r="G528">
            <v>1.15E-2</v>
          </cell>
          <cell r="I528">
            <v>6.7000000000000002E-3</v>
          </cell>
        </row>
        <row r="529">
          <cell r="B529" t="str">
            <v>MN-83</v>
          </cell>
          <cell r="C529" t="str">
            <v>ESP</v>
          </cell>
          <cell r="D529">
            <v>44257</v>
          </cell>
          <cell r="E529">
            <v>0.57152777777777775</v>
          </cell>
          <cell r="F529">
            <v>4.58E-2</v>
          </cell>
          <cell r="G529">
            <v>7.5399999999999995E-2</v>
          </cell>
          <cell r="I529">
            <v>2.8899999999999999E-2</v>
          </cell>
        </row>
        <row r="530">
          <cell r="B530" t="str">
            <v>MN-58</v>
          </cell>
          <cell r="C530" t="str">
            <v>ESP</v>
          </cell>
          <cell r="D530">
            <v>44230</v>
          </cell>
          <cell r="E530">
            <v>0.34791666666666665</v>
          </cell>
          <cell r="F530">
            <v>4.4400000000000002E-2</v>
          </cell>
          <cell r="G530">
            <v>5.1200000000000002E-2</v>
          </cell>
          <cell r="I530">
            <v>1.35E-2</v>
          </cell>
        </row>
        <row r="531">
          <cell r="B531" t="str">
            <v>MN-44</v>
          </cell>
          <cell r="C531" t="str">
            <v>ESP</v>
          </cell>
          <cell r="D531">
            <v>44230</v>
          </cell>
          <cell r="E531">
            <v>0.35625000000000001</v>
          </cell>
          <cell r="F531">
            <v>2.5100000000000001E-2</v>
          </cell>
          <cell r="G531">
            <v>2.9600000000000001E-2</v>
          </cell>
          <cell r="I531">
            <v>2.1999999999999999E-2</v>
          </cell>
        </row>
        <row r="532">
          <cell r="B532" t="str">
            <v>MN-26</v>
          </cell>
          <cell r="C532" t="str">
            <v>ESP</v>
          </cell>
          <cell r="D532">
            <v>44230</v>
          </cell>
          <cell r="E532">
            <v>0.35138888888888892</v>
          </cell>
          <cell r="F532">
            <v>3.5000000000000001E-3</v>
          </cell>
          <cell r="G532">
            <v>4.5999999999999999E-3</v>
          </cell>
          <cell r="I532">
            <v>8.8000000000000005E-3</v>
          </cell>
        </row>
        <row r="533">
          <cell r="B533" t="str">
            <v>MN-78</v>
          </cell>
          <cell r="C533" t="str">
            <v>ESP</v>
          </cell>
          <cell r="D533">
            <v>44257</v>
          </cell>
          <cell r="E533">
            <v>0.55694444444444446</v>
          </cell>
          <cell r="F533">
            <v>6.0000000000000001E-3</v>
          </cell>
          <cell r="G533">
            <v>5.7999999999999996E-3</v>
          </cell>
          <cell r="I533">
            <v>6.4000000000000003E-3</v>
          </cell>
        </row>
        <row r="534">
          <cell r="B534" t="str">
            <v>LY-203</v>
          </cell>
          <cell r="C534" t="str">
            <v>ESP</v>
          </cell>
          <cell r="D534">
            <v>44230</v>
          </cell>
          <cell r="E534">
            <v>0.56944444444444442</v>
          </cell>
          <cell r="F534">
            <v>0.1394</v>
          </cell>
          <cell r="G534">
            <v>0.1089</v>
          </cell>
          <cell r="I534">
            <v>0.15559999999999999</v>
          </cell>
        </row>
        <row r="535">
          <cell r="B535" t="str">
            <v>LY-131</v>
          </cell>
          <cell r="C535" t="str">
            <v>ESP</v>
          </cell>
          <cell r="D535">
            <v>44230</v>
          </cell>
          <cell r="E535">
            <v>0.56666666666666665</v>
          </cell>
          <cell r="F535">
            <v>0.1512</v>
          </cell>
          <cell r="G535">
            <v>0.1076</v>
          </cell>
          <cell r="I535">
            <v>0.16900000000000001</v>
          </cell>
        </row>
        <row r="536">
          <cell r="B536" t="str">
            <v>CY-25</v>
          </cell>
          <cell r="C536" t="str">
            <v>ESP</v>
          </cell>
          <cell r="D536">
            <v>44230</v>
          </cell>
          <cell r="E536">
            <v>0.57638888888888895</v>
          </cell>
          <cell r="F536">
            <v>2.4500000000000001E-2</v>
          </cell>
          <cell r="G536">
            <v>3.0499999999999999E-2</v>
          </cell>
          <cell r="I536">
            <v>9.4000000000000004E-3</v>
          </cell>
        </row>
        <row r="537">
          <cell r="B537" t="str">
            <v>MCA-01</v>
          </cell>
          <cell r="C537" t="str">
            <v>ESP</v>
          </cell>
          <cell r="D537">
            <v>44259</v>
          </cell>
          <cell r="E537">
            <v>0.3520833333333333</v>
          </cell>
          <cell r="F537">
            <v>2.0999999999999999E-3</v>
          </cell>
          <cell r="G537">
            <v>7.7799999999999994E-2</v>
          </cell>
          <cell r="I537">
            <v>0.47370000000000001</v>
          </cell>
        </row>
        <row r="538">
          <cell r="B538" t="str">
            <v>RDE-01</v>
          </cell>
          <cell r="C538" t="str">
            <v>ESP</v>
          </cell>
          <cell r="D538">
            <v>44259</v>
          </cell>
          <cell r="E538">
            <v>0.36180555555555555</v>
          </cell>
          <cell r="F538">
            <v>1.46E-2</v>
          </cell>
          <cell r="G538">
            <v>2.98E-2</v>
          </cell>
          <cell r="I538">
            <v>2.7099999999999999E-2</v>
          </cell>
        </row>
        <row r="539">
          <cell r="B539" t="str">
            <v>CL-40</v>
          </cell>
          <cell r="C539" t="str">
            <v>ESP</v>
          </cell>
          <cell r="D539">
            <v>44259</v>
          </cell>
          <cell r="E539">
            <v>0.58124999999999993</v>
          </cell>
          <cell r="F539">
            <v>4.0899999999999999E-2</v>
          </cell>
          <cell r="G539">
            <v>2.5700000000000001E-2</v>
          </cell>
          <cell r="I539">
            <v>2.0299999999999999E-2</v>
          </cell>
        </row>
        <row r="540">
          <cell r="B540" t="str">
            <v>CL-06</v>
          </cell>
          <cell r="C540" t="str">
            <v>ESP</v>
          </cell>
          <cell r="D540">
            <v>44259</v>
          </cell>
          <cell r="E540">
            <v>0.57638888888888895</v>
          </cell>
          <cell r="F540">
            <v>4.7000000000000002E-3</v>
          </cell>
          <cell r="G540">
            <v>8.9999999999999993E-3</v>
          </cell>
          <cell r="I540">
            <v>1.18E-2</v>
          </cell>
        </row>
        <row r="541">
          <cell r="B541" t="str">
            <v>LY-75</v>
          </cell>
          <cell r="C541" t="str">
            <v>ESP</v>
          </cell>
          <cell r="D541">
            <v>44260</v>
          </cell>
          <cell r="E541">
            <v>0.34861111111111115</v>
          </cell>
          <cell r="F541">
            <v>7.4000000000000003E-3</v>
          </cell>
          <cell r="G541">
            <v>4.8999999999999998E-3</v>
          </cell>
          <cell r="I541">
            <v>7.7000000000000002E-3</v>
          </cell>
        </row>
        <row r="542">
          <cell r="B542" t="str">
            <v>LY-214</v>
          </cell>
          <cell r="C542" t="str">
            <v>ESP</v>
          </cell>
          <cell r="D542">
            <v>44260</v>
          </cell>
          <cell r="E542">
            <v>0.3527777777777778</v>
          </cell>
          <cell r="F542">
            <v>1.0500000000000001E-2</v>
          </cell>
          <cell r="G542">
            <v>9.9000000000000008E-3</v>
          </cell>
          <cell r="I542">
            <v>1.04E-2</v>
          </cell>
        </row>
        <row r="543">
          <cell r="B543" t="str">
            <v>LY-138</v>
          </cell>
          <cell r="C543" t="str">
            <v>ESP</v>
          </cell>
          <cell r="D543">
            <v>44260</v>
          </cell>
          <cell r="E543">
            <v>0.56388888888888888</v>
          </cell>
          <cell r="F543">
            <v>1.2500000000000001E-2</v>
          </cell>
          <cell r="G543">
            <v>1.1299999999999999E-2</v>
          </cell>
          <cell r="I543">
            <v>7.9699999999999993E-2</v>
          </cell>
        </row>
        <row r="544">
          <cell r="B544" t="str">
            <v>LY-92</v>
          </cell>
          <cell r="C544" t="str">
            <v>ESP</v>
          </cell>
          <cell r="D544">
            <v>44260</v>
          </cell>
          <cell r="E544">
            <v>0.56736111111111109</v>
          </cell>
          <cell r="F544">
            <v>4.4999999999999997E-3</v>
          </cell>
          <cell r="G544">
            <v>3.5999999999999999E-3</v>
          </cell>
          <cell r="I544">
            <v>9.9000000000000008E-3</v>
          </cell>
        </row>
        <row r="545">
          <cell r="B545" t="str">
            <v>LY-275</v>
          </cell>
          <cell r="C545" t="str">
            <v>ESP</v>
          </cell>
          <cell r="D545">
            <v>44270</v>
          </cell>
          <cell r="E545">
            <v>0.3666666666666667</v>
          </cell>
          <cell r="F545">
            <v>1.3299999999999999E-2</v>
          </cell>
          <cell r="G545">
            <v>4.7699999999999999E-2</v>
          </cell>
          <cell r="I545">
            <v>0.46639999999999998</v>
          </cell>
        </row>
        <row r="546">
          <cell r="B546" t="str">
            <v>LY-55</v>
          </cell>
          <cell r="C546" t="str">
            <v>ESP</v>
          </cell>
          <cell r="D546">
            <v>44270</v>
          </cell>
          <cell r="E546">
            <v>0.37222222222222223</v>
          </cell>
          <cell r="F546">
            <v>1.8100000000000002E-2</v>
          </cell>
          <cell r="G546">
            <v>2.93E-2</v>
          </cell>
          <cell r="I546">
            <v>2.5600000000000001E-2</v>
          </cell>
        </row>
        <row r="547">
          <cell r="C547" t="str">
            <v>MUESTRA NO.2</v>
          </cell>
          <cell r="D547">
            <v>44271</v>
          </cell>
          <cell r="E547">
            <v>0.30486111111111108</v>
          </cell>
          <cell r="F547">
            <v>7.9000000000000008E-3</v>
          </cell>
          <cell r="G547">
            <v>2.0899999999999998E-2</v>
          </cell>
          <cell r="I547">
            <v>1.2749999999999999</v>
          </cell>
        </row>
        <row r="548">
          <cell r="B548" t="str">
            <v>LY-261A</v>
          </cell>
          <cell r="C548" t="str">
            <v>BM</v>
          </cell>
          <cell r="D548">
            <v>44270</v>
          </cell>
          <cell r="E548">
            <v>0.58124999999999993</v>
          </cell>
          <cell r="F548">
            <v>9.1000000000000004E-3</v>
          </cell>
          <cell r="G548">
            <v>5.5999999999999999E-3</v>
          </cell>
          <cell r="I548">
            <v>1.24E-2</v>
          </cell>
        </row>
        <row r="549">
          <cell r="B549" t="str">
            <v>LY-32</v>
          </cell>
          <cell r="C549" t="str">
            <v>ESP</v>
          </cell>
          <cell r="D549">
            <v>44271</v>
          </cell>
          <cell r="E549">
            <v>0.35347222222222219</v>
          </cell>
          <cell r="F549">
            <v>5.3E-3</v>
          </cell>
          <cell r="G549">
            <v>7.4999999999999997E-3</v>
          </cell>
          <cell r="I549">
            <v>3.0200000000000001E-2</v>
          </cell>
        </row>
        <row r="550">
          <cell r="B550" t="str">
            <v>LY-215</v>
          </cell>
          <cell r="C550" t="str">
            <v>ESP</v>
          </cell>
          <cell r="D550">
            <v>44271</v>
          </cell>
          <cell r="E550">
            <v>0.3576388888888889</v>
          </cell>
          <cell r="F550">
            <v>9.4000000000000004E-3</v>
          </cell>
          <cell r="G550">
            <v>1.6999999999999999E-3</v>
          </cell>
          <cell r="I550">
            <v>4.3999999999999997E-2</v>
          </cell>
        </row>
        <row r="551">
          <cell r="B551" t="str">
            <v>LY-162</v>
          </cell>
          <cell r="C551" t="str">
            <v>ESP</v>
          </cell>
          <cell r="D551">
            <v>44271</v>
          </cell>
          <cell r="E551">
            <v>0.56666666666666665</v>
          </cell>
          <cell r="F551">
            <v>4.7999999999999996E-3</v>
          </cell>
          <cell r="G551" t="str">
            <v>0,0044</v>
          </cell>
          <cell r="H551"/>
          <cell r="I551" t="str">
            <v>0,0092</v>
          </cell>
          <cell r="J551"/>
        </row>
        <row r="552">
          <cell r="B552" t="str">
            <v>LY-137</v>
          </cell>
          <cell r="C552" t="str">
            <v>ESP</v>
          </cell>
          <cell r="D552">
            <v>44271</v>
          </cell>
          <cell r="E552">
            <v>0.57430555555555551</v>
          </cell>
          <cell r="F552">
            <v>6.9999999999999999E-4</v>
          </cell>
          <cell r="G552" t="str">
            <v>0,0018</v>
          </cell>
          <cell r="H552"/>
          <cell r="I552" t="str">
            <v>0,005</v>
          </cell>
          <cell r="J552"/>
        </row>
        <row r="553">
          <cell r="B553" t="str">
            <v>LY-252</v>
          </cell>
          <cell r="C553" t="str">
            <v>ESP</v>
          </cell>
          <cell r="D553">
            <v>44272</v>
          </cell>
          <cell r="E553">
            <v>0.36319444444444443</v>
          </cell>
          <cell r="F553">
            <v>5.5399999999999998E-2</v>
          </cell>
          <cell r="G553" t="str">
            <v>0,0619</v>
          </cell>
          <cell r="H553"/>
          <cell r="I553" t="str">
            <v>0,0431</v>
          </cell>
          <cell r="J553"/>
        </row>
        <row r="554">
          <cell r="B554" t="str">
            <v>LY-247</v>
          </cell>
          <cell r="C554" t="str">
            <v>ESP</v>
          </cell>
          <cell r="D554">
            <v>44272</v>
          </cell>
          <cell r="E554">
            <v>0.36805555555555558</v>
          </cell>
          <cell r="F554">
            <v>5.3E-3</v>
          </cell>
          <cell r="G554" t="str">
            <v>0,0054</v>
          </cell>
          <cell r="H554"/>
          <cell r="I554" t="str">
            <v>0,0116</v>
          </cell>
          <cell r="J554"/>
        </row>
        <row r="555">
          <cell r="B555" t="str">
            <v>LY-112</v>
          </cell>
          <cell r="C555" t="str">
            <v>ESP</v>
          </cell>
          <cell r="D555">
            <v>44272</v>
          </cell>
          <cell r="E555">
            <v>0.59375</v>
          </cell>
          <cell r="F555" t="str">
            <v>0,0063</v>
          </cell>
          <cell r="G555" t="str">
            <v>0,0044</v>
          </cell>
          <cell r="H555"/>
          <cell r="I555" t="str">
            <v>0,0113</v>
          </cell>
          <cell r="J555"/>
        </row>
        <row r="556">
          <cell r="B556" t="str">
            <v>LY-221</v>
          </cell>
          <cell r="C556" t="str">
            <v>ESP</v>
          </cell>
          <cell r="D556">
            <v>44272</v>
          </cell>
          <cell r="E556">
            <v>0.5805555555555556</v>
          </cell>
          <cell r="F556">
            <v>1.83E-2</v>
          </cell>
          <cell r="G556" t="str">
            <v>0,0347</v>
          </cell>
          <cell r="H556"/>
          <cell r="I556" t="str">
            <v>0,022</v>
          </cell>
          <cell r="J556"/>
        </row>
        <row r="557">
          <cell r="B557" t="str">
            <v>LY-280</v>
          </cell>
          <cell r="C557" t="str">
            <v>ESP</v>
          </cell>
          <cell r="D557">
            <v>44273</v>
          </cell>
          <cell r="E557">
            <v>0.3520833333333333</v>
          </cell>
          <cell r="F557">
            <v>6.0000000000000001E-3</v>
          </cell>
          <cell r="G557" t="str">
            <v>0,0207</v>
          </cell>
          <cell r="H557"/>
          <cell r="I557" t="str">
            <v>0,029</v>
          </cell>
          <cell r="J557"/>
        </row>
        <row r="558">
          <cell r="B558" t="str">
            <v>LY-121</v>
          </cell>
          <cell r="C558" t="str">
            <v>ESP</v>
          </cell>
          <cell r="D558">
            <v>44273</v>
          </cell>
          <cell r="E558">
            <v>0.35833333333333334</v>
          </cell>
          <cell r="F558">
            <v>5.4999999999999997E-3</v>
          </cell>
          <cell r="G558" t="str">
            <v>0,0029</v>
          </cell>
          <cell r="H558"/>
          <cell r="I558" t="str">
            <v>0,0055</v>
          </cell>
          <cell r="J558"/>
        </row>
        <row r="559">
          <cell r="B559" t="str">
            <v>CY-69</v>
          </cell>
          <cell r="C559" t="str">
            <v>ESP</v>
          </cell>
          <cell r="D559">
            <v>44273</v>
          </cell>
          <cell r="E559">
            <v>0.59236111111111112</v>
          </cell>
          <cell r="F559">
            <v>1.11E-2</v>
          </cell>
          <cell r="G559" t="str">
            <v>0,0062</v>
          </cell>
          <cell r="H559"/>
          <cell r="I559" t="str">
            <v>0,0075</v>
          </cell>
          <cell r="J559"/>
        </row>
        <row r="560">
          <cell r="B560" t="str">
            <v>CY-94</v>
          </cell>
          <cell r="C560" t="str">
            <v>ESP</v>
          </cell>
          <cell r="D560">
            <v>44273</v>
          </cell>
          <cell r="E560">
            <v>0.58888888888888891</v>
          </cell>
          <cell r="F560">
            <v>1.1900000000000001E-2</v>
          </cell>
          <cell r="G560" t="str">
            <v>0,0047</v>
          </cell>
          <cell r="H560"/>
          <cell r="I560" t="str">
            <v>0,0046</v>
          </cell>
          <cell r="J560"/>
        </row>
        <row r="561">
          <cell r="B561" t="str">
            <v>CY-86</v>
          </cell>
          <cell r="C561" t="str">
            <v>ESP</v>
          </cell>
          <cell r="D561">
            <v>44274</v>
          </cell>
          <cell r="E561">
            <v>0.33124999999999999</v>
          </cell>
          <cell r="F561">
            <v>2.53E-2</v>
          </cell>
          <cell r="G561" t="str">
            <v>0,0626</v>
          </cell>
          <cell r="H561"/>
          <cell r="I561" t="str">
            <v>0,1736</v>
          </cell>
          <cell r="J561"/>
        </row>
        <row r="562">
          <cell r="B562" t="str">
            <v>CY-62</v>
          </cell>
          <cell r="C562" t="str">
            <v>ESP</v>
          </cell>
          <cell r="D562">
            <v>44274</v>
          </cell>
          <cell r="E562">
            <v>0.34027777777777773</v>
          </cell>
          <cell r="F562">
            <v>1.17E-2</v>
          </cell>
          <cell r="G562" t="str">
            <v>0,0078</v>
          </cell>
          <cell r="H562"/>
          <cell r="I562" t="str">
            <v>0,0081</v>
          </cell>
          <cell r="J562"/>
        </row>
        <row r="563">
          <cell r="B563" t="str">
            <v>CY-75</v>
          </cell>
          <cell r="C563" t="str">
            <v>ESP</v>
          </cell>
          <cell r="D563">
            <v>44274</v>
          </cell>
          <cell r="E563">
            <v>0.55069444444444449</v>
          </cell>
          <cell r="F563">
            <v>2.3E-3</v>
          </cell>
          <cell r="G563" t="str">
            <v>0,0033</v>
          </cell>
          <cell r="H563"/>
          <cell r="I563" t="str">
            <v>0,0048</v>
          </cell>
          <cell r="J563"/>
        </row>
        <row r="564">
          <cell r="B564" t="str">
            <v>CY-32</v>
          </cell>
          <cell r="C564" t="str">
            <v>ESP</v>
          </cell>
          <cell r="D564">
            <v>44274</v>
          </cell>
          <cell r="E564">
            <v>0.56041666666666667</v>
          </cell>
          <cell r="F564">
            <v>7.4300000000000005E-2</v>
          </cell>
          <cell r="G564" t="str">
            <v>0,103</v>
          </cell>
          <cell r="H564"/>
          <cell r="I564" t="str">
            <v>0,0852</v>
          </cell>
          <cell r="J564"/>
        </row>
        <row r="565">
          <cell r="D565"/>
          <cell r="E565"/>
          <cell r="F565"/>
          <cell r="G565"/>
          <cell r="H565"/>
          <cell r="I565"/>
          <cell r="J565"/>
        </row>
        <row r="566">
          <cell r="B566" t="str">
            <v>CL-23</v>
          </cell>
          <cell r="C566" t="str">
            <v>ESP</v>
          </cell>
          <cell r="D566">
            <v>44281</v>
          </cell>
          <cell r="E566">
            <v>0.39930555555555558</v>
          </cell>
          <cell r="F566">
            <v>1E-3</v>
          </cell>
          <cell r="G566"/>
          <cell r="H566" t="str">
            <v>0,0018</v>
          </cell>
          <cell r="I566" t="str">
            <v>0,0048</v>
          </cell>
          <cell r="J566">
            <v>1.9E-3</v>
          </cell>
        </row>
        <row r="567">
          <cell r="B567" t="str">
            <v>CL-26</v>
          </cell>
          <cell r="C567" t="str">
            <v>ESP</v>
          </cell>
          <cell r="D567">
            <v>44281</v>
          </cell>
          <cell r="E567">
            <v>0.41319444444444442</v>
          </cell>
          <cell r="F567">
            <v>1.1999999999999999E-3</v>
          </cell>
          <cell r="G567"/>
          <cell r="H567" t="str">
            <v>0,0016</v>
          </cell>
          <cell r="I567" t="str">
            <v>0,0041</v>
          </cell>
          <cell r="J567" t="str">
            <v>0,0015</v>
          </cell>
        </row>
        <row r="568">
          <cell r="B568" t="str">
            <v>LY-272</v>
          </cell>
          <cell r="C568" t="str">
            <v>ESP</v>
          </cell>
          <cell r="D568">
            <v>44281</v>
          </cell>
          <cell r="E568">
            <v>0.61458333333333337</v>
          </cell>
          <cell r="F568">
            <v>9.69E-2</v>
          </cell>
          <cell r="G568"/>
          <cell r="H568" t="str">
            <v>0,0982</v>
          </cell>
          <cell r="I568" t="str">
            <v>0,0861</v>
          </cell>
          <cell r="J568" t="str">
            <v>0,022</v>
          </cell>
        </row>
        <row r="569">
          <cell r="B569" t="str">
            <v>LY-35</v>
          </cell>
          <cell r="C569" t="str">
            <v>ESP</v>
          </cell>
          <cell r="D569">
            <v>44281</v>
          </cell>
          <cell r="E569">
            <v>0.62013888888888891</v>
          </cell>
          <cell r="F569">
            <v>1.29E-2</v>
          </cell>
          <cell r="G569"/>
          <cell r="H569" t="str">
            <v>0,0702</v>
          </cell>
          <cell r="I569" t="str">
            <v>0,084</v>
          </cell>
          <cell r="J569" t="str">
            <v>0,009</v>
          </cell>
        </row>
        <row r="570">
          <cell r="B570" t="str">
            <v>LY-055</v>
          </cell>
          <cell r="C570" t="str">
            <v>ESP</v>
          </cell>
          <cell r="D570">
            <v>44284</v>
          </cell>
          <cell r="E570">
            <v>0.31458333333333333</v>
          </cell>
          <cell r="F570">
            <v>1.2999999999999999E-2</v>
          </cell>
          <cell r="G570"/>
          <cell r="H570" t="str">
            <v>0,0221</v>
          </cell>
          <cell r="I570" t="str">
            <v>0,0779</v>
          </cell>
          <cell r="J570" t="str">
            <v>0,0458</v>
          </cell>
        </row>
        <row r="571">
          <cell r="B571" t="str">
            <v>CH-18</v>
          </cell>
          <cell r="C571" t="str">
            <v>ESP</v>
          </cell>
          <cell r="D571">
            <v>44284</v>
          </cell>
          <cell r="E571">
            <v>0.43124999999999997</v>
          </cell>
          <cell r="F571">
            <v>1.6000000000000001E-3</v>
          </cell>
          <cell r="G571"/>
          <cell r="H571" t="str">
            <v>0,0034</v>
          </cell>
          <cell r="I571" t="str">
            <v>0,0034</v>
          </cell>
          <cell r="J571" t="str">
            <v>0,0033</v>
          </cell>
        </row>
        <row r="572">
          <cell r="B572" t="str">
            <v>CY-89</v>
          </cell>
          <cell r="C572" t="str">
            <v>ESP</v>
          </cell>
          <cell r="D572">
            <v>44285</v>
          </cell>
          <cell r="E572">
            <v>0.30486111111111108</v>
          </cell>
          <cell r="F572">
            <v>1.95E-2</v>
          </cell>
          <cell r="G572"/>
          <cell r="H572" t="str">
            <v>0,023</v>
          </cell>
          <cell r="I572" t="str">
            <v>0,0131</v>
          </cell>
          <cell r="J572" t="str">
            <v>0,0084</v>
          </cell>
        </row>
        <row r="573">
          <cell r="B573" t="str">
            <v>LY-235</v>
          </cell>
          <cell r="C573" t="str">
            <v>ESP</v>
          </cell>
          <cell r="D573">
            <v>44284</v>
          </cell>
          <cell r="E573">
            <v>0.53888888888888886</v>
          </cell>
          <cell r="F573">
            <v>2.7000000000000001E-3</v>
          </cell>
          <cell r="G573"/>
          <cell r="H573" t="str">
            <v>0,004</v>
          </cell>
          <cell r="I573" t="str">
            <v>0,0069</v>
          </cell>
          <cell r="J573" t="str">
            <v>0,0074</v>
          </cell>
        </row>
        <row r="574">
          <cell r="B574" t="str">
            <v>CL-30</v>
          </cell>
          <cell r="C574" t="str">
            <v>ESP</v>
          </cell>
          <cell r="D574">
            <v>44285</v>
          </cell>
          <cell r="E574">
            <v>0.34791666666666665</v>
          </cell>
          <cell r="F574">
            <v>1.6999999999999999E-3</v>
          </cell>
          <cell r="G574"/>
          <cell r="H574" t="str">
            <v>0,0029</v>
          </cell>
          <cell r="I574" t="str">
            <v>0,0047</v>
          </cell>
          <cell r="J574" t="str">
            <v>0,0025</v>
          </cell>
        </row>
        <row r="575">
          <cell r="B575" t="str">
            <v>CL-46</v>
          </cell>
          <cell r="C575" t="str">
            <v>ESP</v>
          </cell>
          <cell r="D575">
            <v>44285</v>
          </cell>
          <cell r="E575">
            <v>0.34027777777777773</v>
          </cell>
          <cell r="F575">
            <v>1.2699999999999999E-2</v>
          </cell>
          <cell r="G575"/>
          <cell r="H575" t="str">
            <v>0,041</v>
          </cell>
          <cell r="I575" t="str">
            <v>0,0515</v>
          </cell>
          <cell r="J575" t="str">
            <v>0,012</v>
          </cell>
        </row>
        <row r="576">
          <cell r="B576" t="str">
            <v>MN-68ST</v>
          </cell>
          <cell r="C576" t="str">
            <v>ESP</v>
          </cell>
          <cell r="D576">
            <v>44285</v>
          </cell>
          <cell r="E576">
            <v>0.6743055555555556</v>
          </cell>
          <cell r="F576">
            <v>6.8999999999999999E-3</v>
          </cell>
          <cell r="G576"/>
          <cell r="H576" t="str">
            <v>0,0248</v>
          </cell>
          <cell r="I576" t="str">
            <v>1,0523</v>
          </cell>
          <cell r="J576" t="str">
            <v>0,1352</v>
          </cell>
        </row>
        <row r="577">
          <cell r="C577" t="str">
            <v>Muestra 2</v>
          </cell>
          <cell r="D577">
            <v>44286</v>
          </cell>
          <cell r="E577">
            <v>0.59027777777777779</v>
          </cell>
          <cell r="F577">
            <v>1.9800000000000002E-2</v>
          </cell>
          <cell r="G577"/>
          <cell r="H577" t="str">
            <v>0,0631</v>
          </cell>
          <cell r="I577" t="str">
            <v>0,3499</v>
          </cell>
          <cell r="J577" t="str">
            <v>0,1795</v>
          </cell>
        </row>
        <row r="578">
          <cell r="B578" t="str">
            <v>CH-18</v>
          </cell>
          <cell r="C578" t="str">
            <v>ESP</v>
          </cell>
          <cell r="D578">
            <v>44285</v>
          </cell>
          <cell r="E578">
            <v>0.63888888888888895</v>
          </cell>
          <cell r="F578">
            <v>1.61E-2</v>
          </cell>
          <cell r="G578"/>
          <cell r="H578" t="str">
            <v>0,0271</v>
          </cell>
          <cell r="I578" t="str">
            <v>0,0133</v>
          </cell>
          <cell r="J578" t="str">
            <v>0,0037</v>
          </cell>
        </row>
        <row r="579">
          <cell r="C579" t="str">
            <v>Muestra 2</v>
          </cell>
          <cell r="D579">
            <v>44289</v>
          </cell>
          <cell r="E579">
            <v>0.43402777777777773</v>
          </cell>
          <cell r="F579">
            <v>1.72E-2</v>
          </cell>
          <cell r="G579"/>
          <cell r="H579" t="str">
            <v>0,0422</v>
          </cell>
          <cell r="I579" t="str">
            <v>0,0413</v>
          </cell>
          <cell r="J579" t="str">
            <v>0,0232</v>
          </cell>
        </row>
        <row r="580">
          <cell r="B580" t="str">
            <v>MN-50</v>
          </cell>
          <cell r="C580" t="str">
            <v>ESP</v>
          </cell>
          <cell r="D580">
            <v>44291</v>
          </cell>
          <cell r="E580">
            <v>0.3444444444444445</v>
          </cell>
          <cell r="F580">
            <v>9.7999999999999997E-3</v>
          </cell>
          <cell r="G580"/>
          <cell r="H580" t="str">
            <v>0,0281</v>
          </cell>
          <cell r="I580" t="str">
            <v>0,0292</v>
          </cell>
          <cell r="J580" t="str">
            <v>0,0102</v>
          </cell>
        </row>
        <row r="581">
          <cell r="B581" t="str">
            <v>MN-98</v>
          </cell>
          <cell r="C581" t="str">
            <v>ESP</v>
          </cell>
          <cell r="D581">
            <v>44291</v>
          </cell>
          <cell r="E581">
            <v>0.35000000000000003</v>
          </cell>
          <cell r="F581">
            <v>5.11E-2</v>
          </cell>
          <cell r="G581"/>
          <cell r="H581" t="str">
            <v>0,4459</v>
          </cell>
          <cell r="I581" t="str">
            <v>2,2426</v>
          </cell>
          <cell r="J581" t="str">
            <v>0,5412</v>
          </cell>
        </row>
        <row r="582">
          <cell r="B582" t="str">
            <v>MN-25</v>
          </cell>
          <cell r="C582" t="str">
            <v>ESP</v>
          </cell>
          <cell r="D582">
            <v>44291</v>
          </cell>
          <cell r="E582">
            <v>0.58263888888888882</v>
          </cell>
          <cell r="F582">
            <v>1.4E-3</v>
          </cell>
          <cell r="G582"/>
          <cell r="H582" t="str">
            <v>0,0047</v>
          </cell>
          <cell r="I582" t="str">
            <v>0,0290</v>
          </cell>
          <cell r="J582" t="str">
            <v>0,0081</v>
          </cell>
        </row>
        <row r="583">
          <cell r="B583" t="str">
            <v>MN-72</v>
          </cell>
          <cell r="C583" t="str">
            <v>ESP</v>
          </cell>
          <cell r="D583">
            <v>44291</v>
          </cell>
          <cell r="E583">
            <v>0.59097222222222223</v>
          </cell>
          <cell r="F583">
            <v>6.9999999999999999E-4</v>
          </cell>
          <cell r="G583"/>
          <cell r="H583" t="str">
            <v>0,0022</v>
          </cell>
          <cell r="I583" t="str">
            <v>0,0065</v>
          </cell>
          <cell r="J583" t="str">
            <v>0,0045</v>
          </cell>
        </row>
        <row r="584">
          <cell r="B584" t="str">
            <v>CL-42</v>
          </cell>
          <cell r="C584" t="str">
            <v>ESP</v>
          </cell>
          <cell r="D584">
            <v>44292</v>
          </cell>
          <cell r="E584">
            <v>0.34027777777777773</v>
          </cell>
          <cell r="F584">
            <v>8.2000000000000007E-3</v>
          </cell>
          <cell r="G584"/>
          <cell r="H584" t="str">
            <v>0,0175</v>
          </cell>
          <cell r="I584" t="str">
            <v>0,0149</v>
          </cell>
          <cell r="J584" t="str">
            <v>0,0063</v>
          </cell>
        </row>
        <row r="585">
          <cell r="B585" t="str">
            <v>CL-41</v>
          </cell>
          <cell r="C585" t="str">
            <v>ESP</v>
          </cell>
          <cell r="D585">
            <v>44292</v>
          </cell>
          <cell r="E585">
            <v>0.34375</v>
          </cell>
          <cell r="F585">
            <v>8.3999999999999995E-3</v>
          </cell>
          <cell r="G585"/>
          <cell r="H585" t="str">
            <v>0,0200</v>
          </cell>
          <cell r="I585" t="str">
            <v>0,0188</v>
          </cell>
          <cell r="J585" t="str">
            <v>0,0051</v>
          </cell>
        </row>
        <row r="586">
          <cell r="B586" t="str">
            <v>LY-104</v>
          </cell>
          <cell r="C586" t="str">
            <v>ESP</v>
          </cell>
          <cell r="D586">
            <v>44292</v>
          </cell>
          <cell r="E586">
            <v>0.56805555555555554</v>
          </cell>
          <cell r="F586">
            <v>2.2700000000000001E-2</v>
          </cell>
          <cell r="G586"/>
          <cell r="H586" t="str">
            <v>0,0630</v>
          </cell>
          <cell r="I586" t="str">
            <v>0,0353</v>
          </cell>
          <cell r="J586" t="str">
            <v>0,0057</v>
          </cell>
        </row>
        <row r="587">
          <cell r="B587" t="str">
            <v>CL-51</v>
          </cell>
          <cell r="C587" t="str">
            <v>ESP</v>
          </cell>
          <cell r="D587">
            <v>44292</v>
          </cell>
          <cell r="E587">
            <v>0.57708333333333328</v>
          </cell>
          <cell r="F587">
            <v>1.2200000000000001E-2</v>
          </cell>
          <cell r="G587"/>
          <cell r="H587" t="str">
            <v>0,0354</v>
          </cell>
          <cell r="I587" t="str">
            <v>0,0952</v>
          </cell>
          <cell r="J587" t="str">
            <v>0,0174</v>
          </cell>
        </row>
        <row r="588">
          <cell r="B588" t="str">
            <v>CL-43</v>
          </cell>
          <cell r="C588" t="str">
            <v>ESP</v>
          </cell>
          <cell r="D588">
            <v>44293</v>
          </cell>
          <cell r="E588">
            <v>0.34027777777777773</v>
          </cell>
          <cell r="F588">
            <v>1.26E-2</v>
          </cell>
          <cell r="G588"/>
          <cell r="H588" t="str">
            <v>0,0706</v>
          </cell>
          <cell r="I588" t="str">
            <v>0,0311</v>
          </cell>
          <cell r="J588" t="str">
            <v>0,0045</v>
          </cell>
        </row>
        <row r="589">
          <cell r="B589" t="str">
            <v>CL-49</v>
          </cell>
          <cell r="C589" t="str">
            <v>ESP</v>
          </cell>
          <cell r="D589">
            <v>44293</v>
          </cell>
          <cell r="E589">
            <v>0.34583333333333338</v>
          </cell>
          <cell r="F589">
            <v>2.2000000000000001E-3</v>
          </cell>
          <cell r="G589"/>
          <cell r="H589" t="str">
            <v>0,0143</v>
          </cell>
          <cell r="I589" t="str">
            <v>0,0862</v>
          </cell>
          <cell r="J589" t="str">
            <v>0,0269</v>
          </cell>
        </row>
        <row r="590">
          <cell r="B590" t="str">
            <v>LY-116</v>
          </cell>
          <cell r="C590" t="str">
            <v>ESP</v>
          </cell>
          <cell r="D590">
            <v>44293</v>
          </cell>
          <cell r="E590">
            <v>0.57638888888888895</v>
          </cell>
          <cell r="F590">
            <v>1.11E-2</v>
          </cell>
          <cell r="G590"/>
          <cell r="H590" t="str">
            <v>0,0265</v>
          </cell>
          <cell r="I590" t="str">
            <v>0,0840</v>
          </cell>
          <cell r="J590" t="str">
            <v>0,2500</v>
          </cell>
        </row>
        <row r="591">
          <cell r="B591" t="str">
            <v>LY-280</v>
          </cell>
          <cell r="C591" t="str">
            <v>ESP</v>
          </cell>
          <cell r="D591">
            <v>44293</v>
          </cell>
          <cell r="E591">
            <v>0.58263888888888882</v>
          </cell>
          <cell r="F591">
            <v>1.1000000000000001E-3</v>
          </cell>
          <cell r="G591"/>
          <cell r="H591" t="str">
            <v>0,0035</v>
          </cell>
          <cell r="I591" t="str">
            <v>0,0086</v>
          </cell>
          <cell r="J591" t="str">
            <v>0,0030</v>
          </cell>
        </row>
        <row r="592">
          <cell r="B592" t="str">
            <v>JIB-10</v>
          </cell>
          <cell r="C592" t="str">
            <v>ESP</v>
          </cell>
          <cell r="D592">
            <v>44294</v>
          </cell>
          <cell r="E592">
            <v>0.38680555555555557</v>
          </cell>
          <cell r="F592">
            <v>2.3599999999999999E-2</v>
          </cell>
          <cell r="G592"/>
          <cell r="H592" t="str">
            <v>0,0616</v>
          </cell>
          <cell r="I592" t="str">
            <v>0.0338</v>
          </cell>
          <cell r="J592" t="str">
            <v>0,0138</v>
          </cell>
        </row>
        <row r="593">
          <cell r="C593" t="str">
            <v>Muestra 2</v>
          </cell>
          <cell r="D593">
            <v>44295</v>
          </cell>
          <cell r="E593">
            <v>0.3215277777777778</v>
          </cell>
          <cell r="F593">
            <v>8.8000000000000005E-3</v>
          </cell>
          <cell r="G593"/>
          <cell r="H593" t="str">
            <v>0,0301</v>
          </cell>
          <cell r="I593" t="str">
            <v>0,0507</v>
          </cell>
          <cell r="J593" t="str">
            <v>0,0082</v>
          </cell>
        </row>
        <row r="594">
          <cell r="B594" t="str">
            <v>JIB-14</v>
          </cell>
          <cell r="C594" t="str">
            <v>ESP</v>
          </cell>
          <cell r="D594">
            <v>44294</v>
          </cell>
          <cell r="E594">
            <v>0.3923611111111111</v>
          </cell>
          <cell r="F594">
            <v>2.9700000000000001E-2</v>
          </cell>
          <cell r="G594"/>
          <cell r="H594" t="str">
            <v>0,0180</v>
          </cell>
          <cell r="I594" t="str">
            <v>0,1097</v>
          </cell>
          <cell r="J594" t="str">
            <v>0,0109</v>
          </cell>
        </row>
        <row r="595">
          <cell r="C595" t="str">
            <v>Muestra 2</v>
          </cell>
          <cell r="D595">
            <v>44295</v>
          </cell>
          <cell r="E595">
            <v>0.3354166666666667</v>
          </cell>
          <cell r="F595">
            <v>2.52E-2</v>
          </cell>
          <cell r="G595"/>
          <cell r="H595" t="str">
            <v>0,0402</v>
          </cell>
          <cell r="I595" t="str">
            <v>0,0254</v>
          </cell>
          <cell r="J595" t="str">
            <v>0,0043</v>
          </cell>
        </row>
        <row r="596">
          <cell r="B596" t="str">
            <v>JIB-19</v>
          </cell>
          <cell r="C596" t="str">
            <v>ESP</v>
          </cell>
          <cell r="D596">
            <v>44295</v>
          </cell>
          <cell r="E596">
            <v>0.3611111111111111</v>
          </cell>
          <cell r="F596">
            <v>4.0000000000000001E-3</v>
          </cell>
          <cell r="G596"/>
          <cell r="H596" t="str">
            <v>0,0075</v>
          </cell>
          <cell r="I596" t="str">
            <v>0,0048</v>
          </cell>
          <cell r="J596" t="str">
            <v>0,0025</v>
          </cell>
        </row>
        <row r="597">
          <cell r="C597" t="str">
            <v>Muestra 2</v>
          </cell>
          <cell r="D597">
            <v>44296</v>
          </cell>
          <cell r="E597">
            <v>0.34583333333333338</v>
          </cell>
          <cell r="F597">
            <v>2.8400000000000002E-2</v>
          </cell>
          <cell r="G597"/>
          <cell r="H597" t="str">
            <v>0,0342</v>
          </cell>
          <cell r="I597" t="str">
            <v>0,0274</v>
          </cell>
          <cell r="J597" t="str">
            <v>0,0155</v>
          </cell>
        </row>
        <row r="598">
          <cell r="B598" t="str">
            <v>JIB-05</v>
          </cell>
          <cell r="C598" t="str">
            <v>ESP</v>
          </cell>
          <cell r="D598">
            <v>44295</v>
          </cell>
          <cell r="E598">
            <v>0.34652777777777777</v>
          </cell>
          <cell r="F598">
            <v>6.4000000000000003E-3</v>
          </cell>
          <cell r="G598"/>
          <cell r="H598" t="str">
            <v>0,0295</v>
          </cell>
          <cell r="I598" t="str">
            <v>0,1396</v>
          </cell>
          <cell r="J598" t="str">
            <v>0,0290</v>
          </cell>
        </row>
        <row r="599">
          <cell r="C599" t="str">
            <v>Muestra 2</v>
          </cell>
          <cell r="D599">
            <v>44296</v>
          </cell>
          <cell r="E599">
            <v>0.34375</v>
          </cell>
          <cell r="F599">
            <v>4.3E-3</v>
          </cell>
          <cell r="G599"/>
          <cell r="H599" t="str">
            <v>0,0072</v>
          </cell>
          <cell r="I599" t="str">
            <v>0,0074</v>
          </cell>
          <cell r="J599" t="str">
            <v>0,0045</v>
          </cell>
        </row>
        <row r="600">
          <cell r="B600" t="str">
            <v>JIB-10</v>
          </cell>
          <cell r="C600" t="str">
            <v>ESP</v>
          </cell>
          <cell r="D600">
            <v>44296</v>
          </cell>
          <cell r="E600">
            <v>0.37847222222222227</v>
          </cell>
          <cell r="F600">
            <v>5.8999999999999999E-3</v>
          </cell>
          <cell r="G600"/>
          <cell r="H600" t="str">
            <v>0,0011</v>
          </cell>
          <cell r="I600" t="str">
            <v>0,0104</v>
          </cell>
          <cell r="J600" t="str">
            <v>0,0092</v>
          </cell>
        </row>
        <row r="601">
          <cell r="C601" t="str">
            <v>Muestra 2</v>
          </cell>
          <cell r="D601">
            <v>44298</v>
          </cell>
          <cell r="E601">
            <v>0.30972222222222223</v>
          </cell>
          <cell r="F601">
            <v>3.5999999999999997E-2</v>
          </cell>
          <cell r="G601"/>
          <cell r="H601" t="str">
            <v>0,0367</v>
          </cell>
          <cell r="I601" t="str">
            <v>0,0196</v>
          </cell>
          <cell r="J601" t="str">
            <v>0,0026</v>
          </cell>
        </row>
        <row r="602">
          <cell r="B602" t="str">
            <v>JIB-02A</v>
          </cell>
          <cell r="C602" t="str">
            <v>ESP</v>
          </cell>
          <cell r="D602">
            <v>44296</v>
          </cell>
          <cell r="E602">
            <v>0.38194444444444442</v>
          </cell>
          <cell r="F602">
            <v>8.0000000000000004E-4</v>
          </cell>
          <cell r="G602"/>
          <cell r="H602" t="str">
            <v>0,0021</v>
          </cell>
          <cell r="I602" t="str">
            <v>0,0034</v>
          </cell>
          <cell r="J602" t="str">
            <v>0,0023</v>
          </cell>
        </row>
        <row r="603">
          <cell r="C603" t="str">
            <v>Muestra 2</v>
          </cell>
          <cell r="D603">
            <v>44298</v>
          </cell>
          <cell r="E603">
            <v>0.3125</v>
          </cell>
          <cell r="F603">
            <v>1.26E-2</v>
          </cell>
          <cell r="G603"/>
          <cell r="H603" t="str">
            <v>0,0360</v>
          </cell>
          <cell r="I603" t="str">
            <v>0,0099</v>
          </cell>
          <cell r="J603" t="str">
            <v>0,0045</v>
          </cell>
        </row>
        <row r="604">
          <cell r="B604" t="str">
            <v>CL-33</v>
          </cell>
          <cell r="C604" t="str">
            <v>BM</v>
          </cell>
          <cell r="D604">
            <v>44302</v>
          </cell>
          <cell r="E604">
            <v>0.38194444444444442</v>
          </cell>
          <cell r="F604">
            <v>2.52E-2</v>
          </cell>
          <cell r="G604"/>
          <cell r="H604" t="str">
            <v>0,0152</v>
          </cell>
          <cell r="I604" t="str">
            <v>0,0025</v>
          </cell>
          <cell r="J604" t="str">
            <v>0,0036</v>
          </cell>
        </row>
        <row r="605">
          <cell r="B605" t="str">
            <v>CL-55</v>
          </cell>
          <cell r="C605" t="str">
            <v>ESP</v>
          </cell>
          <cell r="D605">
            <v>44302</v>
          </cell>
          <cell r="E605">
            <v>0.3888888888888889</v>
          </cell>
          <cell r="F605">
            <v>0.03</v>
          </cell>
          <cell r="G605"/>
          <cell r="H605" t="str">
            <v>0,0124</v>
          </cell>
          <cell r="I605" t="str">
            <v>0,0112</v>
          </cell>
          <cell r="J605" t="str">
            <v>0,0083</v>
          </cell>
        </row>
        <row r="606">
          <cell r="B606" t="str">
            <v>LY-253</v>
          </cell>
          <cell r="C606" t="str">
            <v>ESP</v>
          </cell>
          <cell r="D606">
            <v>44302</v>
          </cell>
          <cell r="E606">
            <v>0.59583333333333333</v>
          </cell>
          <cell r="F606">
            <v>6.1999999999999998E-3</v>
          </cell>
          <cell r="G606"/>
          <cell r="H606" t="str">
            <v>0,0092</v>
          </cell>
          <cell r="I606" t="str">
            <v>0,0082</v>
          </cell>
          <cell r="J606" t="str">
            <v>0,0037</v>
          </cell>
        </row>
        <row r="607">
          <cell r="B607" t="str">
            <v>LY-132</v>
          </cell>
          <cell r="C607" t="str">
            <v>ESP</v>
          </cell>
          <cell r="D607">
            <v>44302</v>
          </cell>
          <cell r="E607">
            <v>0.60069444444444442</v>
          </cell>
          <cell r="F607">
            <v>3.1E-2</v>
          </cell>
          <cell r="G607"/>
          <cell r="H607" t="str">
            <v>0,0342</v>
          </cell>
          <cell r="I607" t="str">
            <v>0,0077</v>
          </cell>
          <cell r="J607" t="str">
            <v>0,0107</v>
          </cell>
        </row>
        <row r="608">
          <cell r="B608" t="str">
            <v>CY-17</v>
          </cell>
          <cell r="C608" t="str">
            <v>ESP</v>
          </cell>
          <cell r="D608">
            <v>44305</v>
          </cell>
          <cell r="E608">
            <v>0.3527777777777778</v>
          </cell>
          <cell r="F608">
            <v>9.2999999999999992E-3</v>
          </cell>
          <cell r="G608"/>
          <cell r="H608" t="str">
            <v>0,0196</v>
          </cell>
          <cell r="I608" t="str">
            <v>0,0159</v>
          </cell>
          <cell r="J608" t="str">
            <v>0,0044</v>
          </cell>
        </row>
        <row r="609">
          <cell r="B609" t="str">
            <v>CY-23</v>
          </cell>
          <cell r="C609" t="str">
            <v>ESP</v>
          </cell>
          <cell r="D609">
            <v>44305</v>
          </cell>
          <cell r="E609">
            <v>0.35902777777777778</v>
          </cell>
          <cell r="F609">
            <v>6.2399999999999997E-2</v>
          </cell>
          <cell r="G609"/>
          <cell r="H609" t="str">
            <v>0,1492</v>
          </cell>
          <cell r="I609" t="str">
            <v>0,1395</v>
          </cell>
          <cell r="J609" t="str">
            <v>0,0126</v>
          </cell>
        </row>
        <row r="610">
          <cell r="B610" t="str">
            <v>CY-66</v>
          </cell>
          <cell r="C610" t="str">
            <v>ESP</v>
          </cell>
          <cell r="D610">
            <v>44308</v>
          </cell>
          <cell r="E610">
            <v>0.35000000000000003</v>
          </cell>
          <cell r="F610">
            <v>2.0299999999999999E-2</v>
          </cell>
          <cell r="G610"/>
          <cell r="H610" t="str">
            <v>0,0376</v>
          </cell>
          <cell r="I610" t="str">
            <v>0,0414</v>
          </cell>
          <cell r="J610" t="str">
            <v>0,0157</v>
          </cell>
        </row>
        <row r="611">
          <cell r="B611" t="str">
            <v>CY-25</v>
          </cell>
          <cell r="C611" t="str">
            <v>ESP</v>
          </cell>
          <cell r="D611">
            <v>44308</v>
          </cell>
          <cell r="E611">
            <v>0.35625000000000001</v>
          </cell>
          <cell r="F611">
            <v>3.5499999999999997E-2</v>
          </cell>
          <cell r="G611"/>
          <cell r="H611" t="str">
            <v>0,1131</v>
          </cell>
          <cell r="I611" t="str">
            <v>0,1029</v>
          </cell>
          <cell r="J611" t="str">
            <v>0,0102</v>
          </cell>
        </row>
        <row r="612">
          <cell r="B612" t="str">
            <v>CY-94</v>
          </cell>
          <cell r="C612" t="str">
            <v>ESP</v>
          </cell>
          <cell r="D612">
            <v>44308</v>
          </cell>
          <cell r="E612">
            <v>0.57222222222222219</v>
          </cell>
          <cell r="F612">
            <v>7.7200000000000005E-2</v>
          </cell>
          <cell r="G612"/>
          <cell r="H612" t="str">
            <v>0,0737</v>
          </cell>
          <cell r="I612" t="str">
            <v>0,0248</v>
          </cell>
          <cell r="J612" t="str">
            <v>0,0211</v>
          </cell>
        </row>
        <row r="613">
          <cell r="B613" t="str">
            <v>CY-69</v>
          </cell>
          <cell r="C613" t="str">
            <v>ESP</v>
          </cell>
          <cell r="D613">
            <v>44308</v>
          </cell>
          <cell r="E613">
            <v>0.57916666666666672</v>
          </cell>
          <cell r="F613">
            <v>2.1499999999999998E-2</v>
          </cell>
          <cell r="G613"/>
          <cell r="H613" t="str">
            <v>0,0626</v>
          </cell>
          <cell r="I613" t="str">
            <v>0,0479</v>
          </cell>
          <cell r="J613" t="str">
            <v>0,0118</v>
          </cell>
        </row>
        <row r="614">
          <cell r="B614" t="str">
            <v>MN-70</v>
          </cell>
          <cell r="C614" t="str">
            <v>BM</v>
          </cell>
          <cell r="D614">
            <v>44309</v>
          </cell>
          <cell r="E614">
            <v>0.35625000000000001</v>
          </cell>
          <cell r="F614">
            <v>2.76E-2</v>
          </cell>
          <cell r="G614"/>
          <cell r="H614" t="str">
            <v>0,0328</v>
          </cell>
          <cell r="I614" t="str">
            <v>0,0172</v>
          </cell>
          <cell r="J614" t="str">
            <v>0,0084</v>
          </cell>
        </row>
        <row r="615">
          <cell r="B615" t="str">
            <v>LY-289</v>
          </cell>
          <cell r="C615" t="str">
            <v>ESP</v>
          </cell>
          <cell r="D615">
            <v>44309</v>
          </cell>
          <cell r="E615">
            <v>0.36388888888888887</v>
          </cell>
          <cell r="F615">
            <v>1.77E-2</v>
          </cell>
          <cell r="G615"/>
          <cell r="H615" t="str">
            <v>0,0615</v>
          </cell>
          <cell r="I615" t="str">
            <v>0,0366</v>
          </cell>
          <cell r="J615" t="str">
            <v>0,0082</v>
          </cell>
        </row>
        <row r="616">
          <cell r="B616" t="str">
            <v>LY-112</v>
          </cell>
          <cell r="C616" t="str">
            <v>ESP</v>
          </cell>
          <cell r="D616">
            <v>44309</v>
          </cell>
          <cell r="E616">
            <v>0.57500000000000007</v>
          </cell>
          <cell r="F616">
            <v>1.7899999999999999E-2</v>
          </cell>
          <cell r="G616"/>
          <cell r="H616" t="str">
            <v>0,0501</v>
          </cell>
          <cell r="I616" t="str">
            <v>0,1179</v>
          </cell>
          <cell r="J616" t="str">
            <v>0,0198</v>
          </cell>
        </row>
        <row r="617">
          <cell r="B617" t="str">
            <v>CY-19</v>
          </cell>
          <cell r="C617" t="str">
            <v>ESP</v>
          </cell>
          <cell r="D617">
            <v>44309</v>
          </cell>
          <cell r="E617">
            <v>0.59305555555555556</v>
          </cell>
          <cell r="F617">
            <v>2.81E-2</v>
          </cell>
          <cell r="G617"/>
          <cell r="H617" t="str">
            <v>0,0424</v>
          </cell>
          <cell r="I617" t="str">
            <v>0,0163</v>
          </cell>
          <cell r="J617" t="str">
            <v>0,0109</v>
          </cell>
        </row>
        <row r="618">
          <cell r="B618" t="str">
            <v>LY-133</v>
          </cell>
          <cell r="C618" t="str">
            <v>ESP</v>
          </cell>
          <cell r="D618">
            <v>44312</v>
          </cell>
          <cell r="E618">
            <v>0.34166666666666662</v>
          </cell>
          <cell r="F618">
            <v>8.6E-3</v>
          </cell>
          <cell r="G618"/>
          <cell r="H618" t="str">
            <v>0,035</v>
          </cell>
          <cell r="I618" t="str">
            <v>0,0302</v>
          </cell>
          <cell r="J618" t="str">
            <v>0,0097</v>
          </cell>
        </row>
        <row r="619">
          <cell r="B619" t="str">
            <v>CY-84</v>
          </cell>
          <cell r="C619" t="str">
            <v>ESP</v>
          </cell>
          <cell r="D619">
            <v>44312</v>
          </cell>
          <cell r="E619">
            <v>0.36319444444444443</v>
          </cell>
          <cell r="F619">
            <v>5.4999999999999997E-3</v>
          </cell>
          <cell r="G619"/>
          <cell r="H619" t="str">
            <v>0,015</v>
          </cell>
          <cell r="I619" t="str">
            <v>0,0243</v>
          </cell>
          <cell r="J619" t="str">
            <v>0,0069</v>
          </cell>
        </row>
        <row r="620">
          <cell r="B620" t="str">
            <v>MN-14</v>
          </cell>
          <cell r="C620" t="str">
            <v>ESP</v>
          </cell>
          <cell r="D620">
            <v>44312</v>
          </cell>
          <cell r="E620">
            <v>0.56944444444444442</v>
          </cell>
          <cell r="F620">
            <v>2.0199999999999999E-2</v>
          </cell>
          <cell r="G620"/>
          <cell r="H620" t="str">
            <v>0,0309</v>
          </cell>
          <cell r="I620" t="str">
            <v>0,0187</v>
          </cell>
          <cell r="J620" t="str">
            <v>0,0082</v>
          </cell>
        </row>
        <row r="621">
          <cell r="B621" t="str">
            <v>CL-06</v>
          </cell>
          <cell r="C621" t="str">
            <v>ESP</v>
          </cell>
          <cell r="D621">
            <v>44312</v>
          </cell>
          <cell r="E621">
            <v>0.6020833333333333</v>
          </cell>
          <cell r="F621">
            <v>2.0199999999999999E-2</v>
          </cell>
          <cell r="G621"/>
          <cell r="H621" t="str">
            <v>0,0487</v>
          </cell>
          <cell r="I621" t="str">
            <v>0,0267</v>
          </cell>
          <cell r="J621" t="str">
            <v>0,0085</v>
          </cell>
        </row>
        <row r="622">
          <cell r="B622" t="str">
            <v>MN-97</v>
          </cell>
          <cell r="C622" t="str">
            <v>ESP</v>
          </cell>
          <cell r="D622">
            <v>44313</v>
          </cell>
          <cell r="E622">
            <v>0.33819444444444446</v>
          </cell>
          <cell r="F622">
            <v>6.4000000000000003E-3</v>
          </cell>
          <cell r="G622"/>
          <cell r="H622" t="str">
            <v>0,018</v>
          </cell>
          <cell r="I622" t="str">
            <v>0,0147</v>
          </cell>
          <cell r="J622" t="str">
            <v>0,0049</v>
          </cell>
        </row>
        <row r="623">
          <cell r="B623" t="str">
            <v>MN-99</v>
          </cell>
          <cell r="C623" t="str">
            <v>ESP</v>
          </cell>
          <cell r="D623">
            <v>44313</v>
          </cell>
          <cell r="E623">
            <v>0.34513888888888888</v>
          </cell>
          <cell r="F623">
            <v>2.0199999999999999E-2</v>
          </cell>
          <cell r="G623"/>
          <cell r="H623" t="str">
            <v>0,0405</v>
          </cell>
          <cell r="I623" t="str">
            <v>0,0199</v>
          </cell>
          <cell r="J623" t="str">
            <v>0,0056</v>
          </cell>
        </row>
        <row r="624">
          <cell r="B624" t="str">
            <v>MN-63</v>
          </cell>
          <cell r="C624" t="str">
            <v>ESP</v>
          </cell>
          <cell r="D624">
            <v>44313</v>
          </cell>
          <cell r="E624">
            <v>0.56736111111111109</v>
          </cell>
          <cell r="F624">
            <v>9.2299999999999993E-2</v>
          </cell>
          <cell r="G624"/>
          <cell r="H624" t="str">
            <v>0,1284</v>
          </cell>
          <cell r="I624" t="str">
            <v>0,1024</v>
          </cell>
          <cell r="J624" t="str">
            <v>0,0163</v>
          </cell>
        </row>
        <row r="625">
          <cell r="B625" t="str">
            <v>MN-94</v>
          </cell>
          <cell r="C625" t="str">
            <v>ESP</v>
          </cell>
          <cell r="D625">
            <v>44313</v>
          </cell>
          <cell r="E625">
            <v>0.57638888888888895</v>
          </cell>
          <cell r="F625">
            <v>0.12379999999999999</v>
          </cell>
          <cell r="G625"/>
          <cell r="H625" t="str">
            <v>0,093</v>
          </cell>
          <cell r="I625" t="str">
            <v>0,1371</v>
          </cell>
          <cell r="J625" t="str">
            <v>0,0666</v>
          </cell>
        </row>
        <row r="626">
          <cell r="B626" t="str">
            <v>LY-258</v>
          </cell>
          <cell r="C626" t="str">
            <v>ESP</v>
          </cell>
          <cell r="D626">
            <v>44315</v>
          </cell>
          <cell r="E626">
            <v>0.3743055555555555</v>
          </cell>
          <cell r="F626">
            <v>8.0199999999999994E-2</v>
          </cell>
          <cell r="G626"/>
          <cell r="H626" t="str">
            <v>0,0568</v>
          </cell>
          <cell r="I626" t="str">
            <v>0,081</v>
          </cell>
          <cell r="J626" t="str">
            <v>0,0129</v>
          </cell>
        </row>
        <row r="627">
          <cell r="B627" t="str">
            <v>LY-227</v>
          </cell>
          <cell r="C627" t="str">
            <v>ESP</v>
          </cell>
          <cell r="D627">
            <v>44315</v>
          </cell>
          <cell r="E627">
            <v>0.37916666666666665</v>
          </cell>
          <cell r="F627">
            <v>3.15E-2</v>
          </cell>
          <cell r="G627"/>
          <cell r="H627" t="str">
            <v>0,0189</v>
          </cell>
          <cell r="I627" t="str">
            <v>0,0181</v>
          </cell>
          <cell r="J627" t="str">
            <v>0,0117</v>
          </cell>
        </row>
        <row r="628">
          <cell r="B628" t="str">
            <v>LY-255</v>
          </cell>
          <cell r="C628" t="str">
            <v>ESP</v>
          </cell>
          <cell r="D628">
            <v>44315</v>
          </cell>
          <cell r="E628">
            <v>0.59444444444444444</v>
          </cell>
          <cell r="F628">
            <v>1.83E-2</v>
          </cell>
          <cell r="G628"/>
          <cell r="H628" t="str">
            <v>0,0541</v>
          </cell>
          <cell r="I628" t="str">
            <v>0,0156</v>
          </cell>
          <cell r="J628" t="str">
            <v>0,003</v>
          </cell>
        </row>
        <row r="629">
          <cell r="B629" t="str">
            <v>LY-274</v>
          </cell>
          <cell r="C629" t="str">
            <v>ESP</v>
          </cell>
          <cell r="D629">
            <v>44315</v>
          </cell>
          <cell r="E629">
            <v>0.59861111111111109</v>
          </cell>
          <cell r="F629">
            <v>2.7300000000000001E-2</v>
          </cell>
          <cell r="G629"/>
          <cell r="H629" t="str">
            <v>0,0224</v>
          </cell>
          <cell r="I629" t="str">
            <v>0,0276</v>
          </cell>
          <cell r="J629" t="str">
            <v>0,0039</v>
          </cell>
        </row>
        <row r="630">
          <cell r="B630" t="str">
            <v>MN-96</v>
          </cell>
          <cell r="C630" t="str">
            <v>BM</v>
          </cell>
          <cell r="D630">
            <v>44316</v>
          </cell>
          <cell r="E630">
            <v>0.35902777777777778</v>
          </cell>
          <cell r="F630">
            <v>1.9599999999999999E-2</v>
          </cell>
          <cell r="G630"/>
          <cell r="H630" t="str">
            <v>0,0259</v>
          </cell>
          <cell r="I630" t="str">
            <v>0,0092</v>
          </cell>
          <cell r="J630" t="str">
            <v>0,0113</v>
          </cell>
        </row>
        <row r="631">
          <cell r="B631" t="str">
            <v>MN-45</v>
          </cell>
          <cell r="C631" t="str">
            <v>ESP</v>
          </cell>
          <cell r="D631">
            <v>44316</v>
          </cell>
          <cell r="E631">
            <v>0.35416666666666669</v>
          </cell>
          <cell r="F631">
            <v>2.69E-2</v>
          </cell>
          <cell r="G631"/>
          <cell r="H631" t="str">
            <v>0,0107</v>
          </cell>
          <cell r="I631" t="str">
            <v>0,0153</v>
          </cell>
          <cell r="J631" t="str">
            <v>0,0063</v>
          </cell>
        </row>
        <row r="632">
          <cell r="B632" t="str">
            <v>LY-216</v>
          </cell>
          <cell r="C632" t="str">
            <v>ESP</v>
          </cell>
          <cell r="D632">
            <v>44316</v>
          </cell>
          <cell r="E632">
            <v>0.57291666666666663</v>
          </cell>
          <cell r="F632">
            <v>3.1300000000000001E-2</v>
          </cell>
          <cell r="G632"/>
          <cell r="H632" t="str">
            <v>0,0494</v>
          </cell>
          <cell r="I632" t="str">
            <v>0,1603</v>
          </cell>
          <cell r="J632" t="str">
            <v>0,0145</v>
          </cell>
        </row>
        <row r="633">
          <cell r="B633" t="str">
            <v>LY-141</v>
          </cell>
          <cell r="C633" t="str">
            <v>ESP</v>
          </cell>
          <cell r="D633">
            <v>44316</v>
          </cell>
          <cell r="E633">
            <v>0.57708333333333328</v>
          </cell>
          <cell r="F633">
            <v>1.5599999999999999E-2</v>
          </cell>
          <cell r="G633"/>
          <cell r="H633" t="str">
            <v>0,0199</v>
          </cell>
          <cell r="I633" t="str">
            <v>0,0162</v>
          </cell>
          <cell r="J633" t="str">
            <v>0,0118</v>
          </cell>
        </row>
        <row r="634">
          <cell r="B634" t="str">
            <v>LY-125</v>
          </cell>
          <cell r="C634" t="str">
            <v>ESP</v>
          </cell>
          <cell r="D634">
            <v>44319</v>
          </cell>
          <cell r="E634">
            <v>0.36736111111111108</v>
          </cell>
          <cell r="F634">
            <v>1.0999999999999999E-2</v>
          </cell>
          <cell r="G634"/>
          <cell r="H634" t="str">
            <v>0,0211</v>
          </cell>
          <cell r="I634" t="str">
            <v>0,0339</v>
          </cell>
          <cell r="J634" t="str">
            <v>0,0085</v>
          </cell>
        </row>
        <row r="635">
          <cell r="B635" t="str">
            <v>LY-217</v>
          </cell>
          <cell r="C635" t="str">
            <v>ESP</v>
          </cell>
          <cell r="D635">
            <v>44319</v>
          </cell>
          <cell r="E635">
            <v>0.56597222222222221</v>
          </cell>
          <cell r="F635">
            <v>3.7000000000000002E-3</v>
          </cell>
          <cell r="G635"/>
          <cell r="H635" t="str">
            <v>0,0085</v>
          </cell>
          <cell r="I635" t="str">
            <v>0,0145</v>
          </cell>
          <cell r="J635" t="str">
            <v>0,0082</v>
          </cell>
        </row>
        <row r="636">
          <cell r="B636" t="str">
            <v>LY-265</v>
          </cell>
          <cell r="C636" t="str">
            <v>ESP</v>
          </cell>
          <cell r="D636">
            <v>44319</v>
          </cell>
          <cell r="E636">
            <v>0.57500000000000007</v>
          </cell>
          <cell r="F636">
            <v>8.3000000000000001E-3</v>
          </cell>
          <cell r="G636"/>
          <cell r="H636" t="str">
            <v>0,0118</v>
          </cell>
          <cell r="I636" t="str">
            <v>0,0313</v>
          </cell>
          <cell r="J636" t="str">
            <v>0,0095</v>
          </cell>
        </row>
        <row r="637">
          <cell r="B637" t="str">
            <v>LY-246</v>
          </cell>
          <cell r="C637" t="str">
            <v>BM</v>
          </cell>
          <cell r="D637">
            <v>44319</v>
          </cell>
          <cell r="E637">
            <v>0.56736111111111109</v>
          </cell>
          <cell r="F637">
            <v>6.4000000000000003E-3</v>
          </cell>
          <cell r="G637"/>
          <cell r="H637" t="str">
            <v>0,0150</v>
          </cell>
          <cell r="I637" t="str">
            <v>0,0222</v>
          </cell>
          <cell r="J637" t="str">
            <v>0,0115</v>
          </cell>
        </row>
        <row r="638">
          <cell r="B638" t="str">
            <v>LY-096</v>
          </cell>
          <cell r="C638" t="str">
            <v>ESP</v>
          </cell>
          <cell r="D638">
            <v>44330</v>
          </cell>
          <cell r="E638">
            <v>0.38819444444444445</v>
          </cell>
          <cell r="F638">
            <v>2.8500000000000001E-2</v>
          </cell>
          <cell r="G638"/>
          <cell r="H638" t="str">
            <v>0,0320</v>
          </cell>
          <cell r="I638" t="str">
            <v>0,0234</v>
          </cell>
          <cell r="J638" t="str">
            <v>0,0064</v>
          </cell>
        </row>
        <row r="639">
          <cell r="B639" t="str">
            <v>LY-156</v>
          </cell>
          <cell r="C639" t="str">
            <v>ESP</v>
          </cell>
          <cell r="D639">
            <v>44330</v>
          </cell>
          <cell r="E639">
            <v>0.39930555555555558</v>
          </cell>
          <cell r="F639">
            <v>1.7399999999999999E-2</v>
          </cell>
          <cell r="G639"/>
          <cell r="H639" t="str">
            <v>0,0682</v>
          </cell>
          <cell r="I639" t="str">
            <v>0,1639</v>
          </cell>
          <cell r="J639" t="str">
            <v>0,0177</v>
          </cell>
        </row>
        <row r="640">
          <cell r="B640" t="str">
            <v>MN-89</v>
          </cell>
          <cell r="C640" t="str">
            <v>ESP</v>
          </cell>
          <cell r="D640">
            <v>44330</v>
          </cell>
          <cell r="E640">
            <v>0.59722222222222221</v>
          </cell>
          <cell r="F640">
            <v>9.9000000000000008E-3</v>
          </cell>
          <cell r="G640"/>
          <cell r="H640" t="str">
            <v>0,0230</v>
          </cell>
          <cell r="I640" t="str">
            <v>0,0319</v>
          </cell>
          <cell r="J640" t="str">
            <v>0,0189</v>
          </cell>
        </row>
        <row r="641">
          <cell r="B641" t="str">
            <v>MN-93</v>
          </cell>
          <cell r="C641" t="str">
            <v>ESP</v>
          </cell>
          <cell r="D641">
            <v>44330</v>
          </cell>
          <cell r="E641">
            <v>0.59444444444444444</v>
          </cell>
          <cell r="F641">
            <v>8.2000000000000007E-3</v>
          </cell>
          <cell r="G641"/>
          <cell r="H641" t="str">
            <v>0,0172</v>
          </cell>
          <cell r="I641" t="str">
            <v>0,0389</v>
          </cell>
          <cell r="J641" t="str">
            <v>0,0229</v>
          </cell>
        </row>
        <row r="642">
          <cell r="B642" t="str">
            <v>CL-04</v>
          </cell>
          <cell r="C642" t="str">
            <v>ESP</v>
          </cell>
          <cell r="D642">
            <v>44334</v>
          </cell>
          <cell r="E642">
            <v>0.34791666666666665</v>
          </cell>
          <cell r="F642">
            <v>3.0000000000000001E-3</v>
          </cell>
          <cell r="H642" t="str">
            <v>0,0039</v>
          </cell>
          <cell r="I642" t="str">
            <v>0,0139</v>
          </cell>
          <cell r="J642" t="str">
            <v>0,0083</v>
          </cell>
        </row>
        <row r="643">
          <cell r="B643" t="str">
            <v>CL-21</v>
          </cell>
          <cell r="C643" t="str">
            <v>ESP</v>
          </cell>
          <cell r="D643">
            <v>44334</v>
          </cell>
          <cell r="E643">
            <v>0.3527777777777778</v>
          </cell>
          <cell r="F643">
            <v>4.4999999999999997E-3</v>
          </cell>
          <cell r="H643" t="str">
            <v>0,0108</v>
          </cell>
          <cell r="I643" t="str">
            <v>0,0131</v>
          </cell>
          <cell r="J643" t="str">
            <v>0,0072</v>
          </cell>
        </row>
        <row r="644">
          <cell r="B644" t="str">
            <v>CL-19</v>
          </cell>
          <cell r="C644" t="str">
            <v>BM</v>
          </cell>
          <cell r="D644">
            <v>44334</v>
          </cell>
          <cell r="E644">
            <v>0.5805555555555556</v>
          </cell>
          <cell r="F644">
            <v>3.1699999999999999E-2</v>
          </cell>
          <cell r="H644" t="str">
            <v>0,0083</v>
          </cell>
          <cell r="I644" t="str">
            <v>0,0080</v>
          </cell>
          <cell r="J644" t="str">
            <v>0,0055</v>
          </cell>
        </row>
        <row r="645">
          <cell r="B645" t="str">
            <v>CL-11</v>
          </cell>
          <cell r="C645" t="str">
            <v>ESP</v>
          </cell>
          <cell r="D645">
            <v>44334</v>
          </cell>
          <cell r="E645">
            <v>0.57291666666666663</v>
          </cell>
          <cell r="F645">
            <v>3.2000000000000002E-3</v>
          </cell>
          <cell r="H645" t="str">
            <v>0,0138</v>
          </cell>
          <cell r="I645" t="str">
            <v>0,0222</v>
          </cell>
          <cell r="J645" t="str">
            <v>0,0114</v>
          </cell>
        </row>
        <row r="646">
          <cell r="B646" t="str">
            <v>CL-47</v>
          </cell>
          <cell r="C646" t="str">
            <v>ESP</v>
          </cell>
          <cell r="D646">
            <v>44335</v>
          </cell>
          <cell r="E646">
            <v>0.34722222222222227</v>
          </cell>
          <cell r="F646">
            <v>3.2000000000000002E-3</v>
          </cell>
          <cell r="G646"/>
          <cell r="H646" t="str">
            <v>0,0043</v>
          </cell>
          <cell r="I646" t="str">
            <v>0,0168</v>
          </cell>
          <cell r="J646" t="str">
            <v>0,0051</v>
          </cell>
        </row>
        <row r="647">
          <cell r="B647" t="str">
            <v>CL-07</v>
          </cell>
          <cell r="C647" t="str">
            <v>ESP</v>
          </cell>
          <cell r="D647">
            <v>44335</v>
          </cell>
          <cell r="E647">
            <v>0.35833333333333334</v>
          </cell>
          <cell r="F647">
            <v>1.06E-2</v>
          </cell>
          <cell r="G647"/>
          <cell r="H647" t="str">
            <v>0,0507</v>
          </cell>
          <cell r="I647" t="str">
            <v>0,0161</v>
          </cell>
          <cell r="J647" t="str">
            <v>0,0049</v>
          </cell>
        </row>
        <row r="648">
          <cell r="B648" t="str">
            <v>CL-40</v>
          </cell>
          <cell r="C648" t="str">
            <v>ESP</v>
          </cell>
          <cell r="D648">
            <v>44335</v>
          </cell>
          <cell r="E648">
            <v>0.56527777777777777</v>
          </cell>
          <cell r="F648">
            <v>1.5E-3</v>
          </cell>
          <cell r="G648"/>
          <cell r="H648" t="str">
            <v>0,0012</v>
          </cell>
          <cell r="I648" t="str">
            <v>0,0087</v>
          </cell>
          <cell r="J648" t="str">
            <v>0,0068</v>
          </cell>
        </row>
        <row r="649">
          <cell r="B649" t="str">
            <v>CL-08</v>
          </cell>
          <cell r="C649" t="str">
            <v>ESP</v>
          </cell>
          <cell r="D649">
            <v>44335</v>
          </cell>
          <cell r="E649">
            <v>0.59375</v>
          </cell>
          <cell r="F649">
            <v>1.6000000000000001E-3</v>
          </cell>
          <cell r="G649"/>
          <cell r="H649" t="str">
            <v>0,0040</v>
          </cell>
          <cell r="I649" t="str">
            <v>0,0056</v>
          </cell>
          <cell r="J649" t="str">
            <v>0,0051</v>
          </cell>
        </row>
        <row r="650">
          <cell r="B650" t="str">
            <v>CL-09</v>
          </cell>
          <cell r="C650" t="str">
            <v>ESP</v>
          </cell>
          <cell r="D650">
            <v>44336</v>
          </cell>
          <cell r="E650">
            <v>0.3611111111111111</v>
          </cell>
          <cell r="F650">
            <v>2E-3</v>
          </cell>
          <cell r="G650"/>
          <cell r="H650" t="str">
            <v>0,0023</v>
          </cell>
          <cell r="I650" t="str">
            <v>0,0052</v>
          </cell>
          <cell r="J650" t="str">
            <v>0,0010</v>
          </cell>
        </row>
        <row r="651">
          <cell r="B651" t="str">
            <v>CL-28</v>
          </cell>
          <cell r="C651" t="str">
            <v>ESP</v>
          </cell>
          <cell r="D651">
            <v>44336</v>
          </cell>
          <cell r="E651">
            <v>0.36527777777777781</v>
          </cell>
          <cell r="F651">
            <v>4.4999999999999997E-3</v>
          </cell>
          <cell r="G651"/>
          <cell r="H651" t="str">
            <v>0,0068</v>
          </cell>
          <cell r="I651" t="str">
            <v>0,0049</v>
          </cell>
          <cell r="J651" t="str">
            <v>0,0058</v>
          </cell>
        </row>
        <row r="652">
          <cell r="B652" t="str">
            <v>LY-108</v>
          </cell>
          <cell r="C652" t="str">
            <v>ESP</v>
          </cell>
          <cell r="D652">
            <v>44336</v>
          </cell>
          <cell r="E652">
            <v>0.58124999999999993</v>
          </cell>
          <cell r="F652">
            <v>2.2000000000000001E-3</v>
          </cell>
          <cell r="G652"/>
          <cell r="H652" t="str">
            <v>0,0036</v>
          </cell>
          <cell r="I652" t="str">
            <v>0,0049</v>
          </cell>
          <cell r="J652" t="str">
            <v>0,0061</v>
          </cell>
        </row>
        <row r="653">
          <cell r="B653" t="str">
            <v>MN-08</v>
          </cell>
          <cell r="C653" t="str">
            <v>ESP</v>
          </cell>
          <cell r="D653">
            <v>44336</v>
          </cell>
          <cell r="E653">
            <v>0.5854166666666667</v>
          </cell>
          <cell r="F653">
            <v>9.7000000000000003E-3</v>
          </cell>
          <cell r="G653"/>
          <cell r="H653" t="str">
            <v>0,0342</v>
          </cell>
          <cell r="I653" t="str">
            <v>0,0545</v>
          </cell>
          <cell r="J653" t="str">
            <v>0,0181</v>
          </cell>
        </row>
        <row r="654">
          <cell r="B654" t="str">
            <v>MN-85</v>
          </cell>
          <cell r="C654" t="str">
            <v>ESP</v>
          </cell>
          <cell r="D654">
            <v>44337</v>
          </cell>
          <cell r="E654">
            <v>0.3263888888888889</v>
          </cell>
          <cell r="F654">
            <v>1.46E-2</v>
          </cell>
          <cell r="G654"/>
          <cell r="H654" t="str">
            <v>0,0335</v>
          </cell>
          <cell r="I654" t="str">
            <v>0,0435</v>
          </cell>
          <cell r="J654" t="str">
            <v>0,0438</v>
          </cell>
        </row>
        <row r="655">
          <cell r="B655" t="str">
            <v>MN-77ST</v>
          </cell>
          <cell r="C655" t="str">
            <v>ESP</v>
          </cell>
          <cell r="D655">
            <v>44337</v>
          </cell>
          <cell r="E655">
            <v>0.33124999999999999</v>
          </cell>
          <cell r="F655">
            <v>8.0000000000000002E-3</v>
          </cell>
          <cell r="G655"/>
          <cell r="H655" t="str">
            <v>0,0318</v>
          </cell>
          <cell r="I655" t="str">
            <v>0,0263</v>
          </cell>
          <cell r="J655" t="str">
            <v>0,0055</v>
          </cell>
        </row>
        <row r="656">
          <cell r="B656" t="str">
            <v>LY-173</v>
          </cell>
          <cell r="C656" t="str">
            <v>ESP</v>
          </cell>
          <cell r="D656">
            <v>44337</v>
          </cell>
          <cell r="E656">
            <v>0.55833333333333335</v>
          </cell>
          <cell r="F656">
            <v>1.5299999999999999E-2</v>
          </cell>
          <cell r="G656"/>
          <cell r="H656" t="str">
            <v>0,0278</v>
          </cell>
          <cell r="I656" t="str">
            <v>0,0259</v>
          </cell>
          <cell r="J656" t="str">
            <v>0,0165</v>
          </cell>
        </row>
        <row r="657">
          <cell r="B657" t="str">
            <v>LY-174</v>
          </cell>
          <cell r="C657" t="str">
            <v>ESP</v>
          </cell>
          <cell r="D657">
            <v>44337</v>
          </cell>
          <cell r="E657">
            <v>0.5625</v>
          </cell>
          <cell r="F657">
            <v>2.4E-2</v>
          </cell>
          <cell r="G657"/>
          <cell r="H657" t="str">
            <v>0,0783</v>
          </cell>
          <cell r="I657" t="str">
            <v>0,0692</v>
          </cell>
          <cell r="J657" t="str">
            <v>0,0175</v>
          </cell>
        </row>
        <row r="658">
          <cell r="B658" t="str">
            <v>REX-NE-02</v>
          </cell>
          <cell r="C658" t="str">
            <v>ESP</v>
          </cell>
          <cell r="D658">
            <v>44340</v>
          </cell>
          <cell r="E658">
            <v>0.37361111111111112</v>
          </cell>
          <cell r="F658">
            <v>6.4000000000000003E-3</v>
          </cell>
          <cell r="G658"/>
          <cell r="H658" t="str">
            <v>0,0100</v>
          </cell>
          <cell r="I658" t="str">
            <v>0,0307</v>
          </cell>
          <cell r="J658" t="str">
            <v>0,0122</v>
          </cell>
        </row>
        <row r="659">
          <cell r="C659" t="str">
            <v>MUESTRA 2</v>
          </cell>
          <cell r="D659">
            <v>44340</v>
          </cell>
          <cell r="E659">
            <v>0.6166666666666667</v>
          </cell>
          <cell r="F659">
            <v>1.4999999999999999E-2</v>
          </cell>
          <cell r="G659"/>
          <cell r="H659" t="str">
            <v>0,0252</v>
          </cell>
          <cell r="I659" t="str">
            <v>0,0180</v>
          </cell>
          <cell r="J659" t="str">
            <v>0,0074</v>
          </cell>
        </row>
        <row r="660">
          <cell r="C660" t="str">
            <v>MUESTRA 3</v>
          </cell>
          <cell r="D660">
            <v>44341</v>
          </cell>
          <cell r="E660">
            <v>0.30555555555555552</v>
          </cell>
          <cell r="F660">
            <v>4.8999999999999998E-3</v>
          </cell>
          <cell r="G660"/>
          <cell r="H660" t="str">
            <v>0,0072</v>
          </cell>
          <cell r="I660" t="str">
            <v>0,0420</v>
          </cell>
          <cell r="J660" t="str">
            <v>0,0070</v>
          </cell>
        </row>
        <row r="661">
          <cell r="C661" t="str">
            <v>MUESTRA 4</v>
          </cell>
          <cell r="D661">
            <v>44341</v>
          </cell>
          <cell r="E661">
            <v>0.59583333333333333</v>
          </cell>
          <cell r="F661">
            <v>8.9999999999999993E-3</v>
          </cell>
          <cell r="G661"/>
          <cell r="H661" t="str">
            <v>0,0255</v>
          </cell>
          <cell r="I661" t="str">
            <v>0,0226</v>
          </cell>
          <cell r="J661" t="str">
            <v>0,0032</v>
          </cell>
        </row>
        <row r="662">
          <cell r="B662" t="str">
            <v>REX-NE-04</v>
          </cell>
          <cell r="C662" t="str">
            <v>ESP</v>
          </cell>
          <cell r="D662">
            <v>44340</v>
          </cell>
          <cell r="E662">
            <v>0.37152777777777773</v>
          </cell>
          <cell r="F662">
            <v>1.52E-2</v>
          </cell>
          <cell r="G662"/>
          <cell r="H662" t="str">
            <v>0,0333</v>
          </cell>
          <cell r="I662" t="str">
            <v>0,0681</v>
          </cell>
          <cell r="J662" t="str">
            <v>0,0245</v>
          </cell>
        </row>
        <row r="663">
          <cell r="C663" t="str">
            <v>MUESTRA 2</v>
          </cell>
          <cell r="D663">
            <v>44340</v>
          </cell>
          <cell r="E663">
            <v>0.61527777777777781</v>
          </cell>
          <cell r="F663">
            <v>1.9599999999999999E-2</v>
          </cell>
          <cell r="G663"/>
          <cell r="H663" t="str">
            <v>0,0318</v>
          </cell>
          <cell r="I663" t="str">
            <v>0,0482</v>
          </cell>
          <cell r="J663" t="str">
            <v>0,0180</v>
          </cell>
        </row>
        <row r="664">
          <cell r="C664" t="str">
            <v>MUESTRA 3</v>
          </cell>
          <cell r="D664">
            <v>44341</v>
          </cell>
          <cell r="E664">
            <v>0.30555555555555552</v>
          </cell>
          <cell r="F664">
            <v>1.44E-2</v>
          </cell>
          <cell r="G664"/>
          <cell r="H664" t="str">
            <v>0,0188</v>
          </cell>
          <cell r="I664" t="str">
            <v>0,0199</v>
          </cell>
          <cell r="J664" t="str">
            <v>0,0115</v>
          </cell>
        </row>
        <row r="665">
          <cell r="C665" t="str">
            <v>MUESTRA 4</v>
          </cell>
          <cell r="D665">
            <v>44341</v>
          </cell>
          <cell r="E665">
            <v>0.59722222222222221</v>
          </cell>
          <cell r="F665">
            <v>7.4000000000000003E-3</v>
          </cell>
          <cell r="G665"/>
          <cell r="H665" t="str">
            <v>0,0139</v>
          </cell>
          <cell r="I665" t="str">
            <v>0,0237</v>
          </cell>
          <cell r="J665" t="str">
            <v>0,0125</v>
          </cell>
        </row>
        <row r="666">
          <cell r="B666" t="str">
            <v>RD-03</v>
          </cell>
          <cell r="C666" t="str">
            <v>ESP</v>
          </cell>
          <cell r="D666">
            <v>44350</v>
          </cell>
          <cell r="E666">
            <v>0.37777777777777777</v>
          </cell>
          <cell r="F666">
            <v>1.8800000000000001E-2</v>
          </cell>
          <cell r="G666"/>
          <cell r="H666" t="str">
            <v>0,0377</v>
          </cell>
          <cell r="I666" t="str">
            <v>0,0157</v>
          </cell>
          <cell r="J666" t="str">
            <v>0,0114</v>
          </cell>
        </row>
        <row r="667">
          <cell r="B667" t="str">
            <v>CV-07</v>
          </cell>
          <cell r="C667" t="str">
            <v>ESP</v>
          </cell>
          <cell r="D667">
            <v>44350</v>
          </cell>
          <cell r="E667">
            <v>0.3833333333333333</v>
          </cell>
          <cell r="F667">
            <v>0.30919999999999997</v>
          </cell>
          <cell r="G667"/>
          <cell r="H667" t="str">
            <v>0,446</v>
          </cell>
          <cell r="I667" t="str">
            <v>0,1589</v>
          </cell>
          <cell r="J667" t="str">
            <v>0,0475</v>
          </cell>
        </row>
        <row r="668">
          <cell r="B668" t="str">
            <v>CH-04</v>
          </cell>
          <cell r="C668" t="str">
            <v>ESP</v>
          </cell>
          <cell r="D668">
            <v>44350</v>
          </cell>
          <cell r="E668">
            <v>0.58472222222222225</v>
          </cell>
          <cell r="F668">
            <v>0.2077</v>
          </cell>
          <cell r="G668"/>
          <cell r="H668" t="str">
            <v>1,859</v>
          </cell>
          <cell r="I668" t="str">
            <v>1,9939</v>
          </cell>
          <cell r="J668" t="str">
            <v>0,4884</v>
          </cell>
        </row>
        <row r="669">
          <cell r="B669" t="str">
            <v>RD-11</v>
          </cell>
          <cell r="C669" t="str">
            <v>ESP</v>
          </cell>
          <cell r="D669">
            <v>44350</v>
          </cell>
          <cell r="E669">
            <v>0.62430555555555556</v>
          </cell>
          <cell r="F669">
            <v>3.0099999999999998E-2</v>
          </cell>
          <cell r="G669"/>
          <cell r="H669" t="str">
            <v>0,0673</v>
          </cell>
          <cell r="I669" t="str">
            <v>0,1328</v>
          </cell>
          <cell r="J669" t="str">
            <v>0,0182</v>
          </cell>
        </row>
        <row r="670">
          <cell r="B670" t="str">
            <v>CH-19</v>
          </cell>
          <cell r="C670" t="str">
            <v>ESP</v>
          </cell>
          <cell r="D670">
            <v>44351</v>
          </cell>
          <cell r="E670">
            <v>0.3576388888888889</v>
          </cell>
          <cell r="F670">
            <v>1.9900000000000001E-2</v>
          </cell>
          <cell r="G670"/>
          <cell r="H670" t="str">
            <v>0,2094</v>
          </cell>
          <cell r="I670" t="str">
            <v>0,3049</v>
          </cell>
          <cell r="J670" t="str">
            <v>0,1342</v>
          </cell>
        </row>
        <row r="671">
          <cell r="B671" t="str">
            <v>CH-20</v>
          </cell>
          <cell r="C671" t="str">
            <v>ESP</v>
          </cell>
          <cell r="D671">
            <v>44351</v>
          </cell>
          <cell r="E671">
            <v>0.33680555555555558</v>
          </cell>
          <cell r="F671">
            <v>1.18E-2</v>
          </cell>
          <cell r="G671"/>
          <cell r="H671" t="str">
            <v>0,0347</v>
          </cell>
          <cell r="I671" t="str">
            <v>0,1246</v>
          </cell>
          <cell r="J671" t="str">
            <v>0,0502</v>
          </cell>
        </row>
        <row r="672">
          <cell r="B672" t="str">
            <v>LY-110</v>
          </cell>
          <cell r="C672" t="str">
            <v>ESP</v>
          </cell>
          <cell r="D672">
            <v>44358</v>
          </cell>
          <cell r="E672">
            <v>0.3576388888888889</v>
          </cell>
          <cell r="F672">
            <v>5.0000000000000001E-4</v>
          </cell>
          <cell r="G672"/>
          <cell r="H672" t="str">
            <v>0,0029</v>
          </cell>
          <cell r="I672" t="str">
            <v>0,0061</v>
          </cell>
          <cell r="J672" t="str">
            <v>0,0034</v>
          </cell>
        </row>
        <row r="673">
          <cell r="B673" t="str">
            <v>LY-114</v>
          </cell>
          <cell r="C673" t="str">
            <v>ESP</v>
          </cell>
          <cell r="D673">
            <v>44358</v>
          </cell>
          <cell r="E673">
            <v>0.36458333333333331</v>
          </cell>
          <cell r="F673">
            <v>3.2000000000000001E-2</v>
          </cell>
          <cell r="G673"/>
          <cell r="H673" t="str">
            <v>0,0524</v>
          </cell>
          <cell r="I673" t="str">
            <v>0,0141</v>
          </cell>
          <cell r="J673" t="str">
            <v>0,0032</v>
          </cell>
        </row>
        <row r="674">
          <cell r="B674" t="str">
            <v>LY-101</v>
          </cell>
          <cell r="C674" t="str">
            <v>ESP</v>
          </cell>
          <cell r="D674">
            <v>44358</v>
          </cell>
          <cell r="E674">
            <v>0.58124999999999993</v>
          </cell>
          <cell r="F674">
            <v>7.1000000000000004E-3</v>
          </cell>
          <cell r="G674"/>
          <cell r="H674" t="str">
            <v>0,0127</v>
          </cell>
          <cell r="I674" t="str">
            <v>0,012</v>
          </cell>
          <cell r="J674" t="str">
            <v>0,0061</v>
          </cell>
        </row>
        <row r="675">
          <cell r="B675" t="str">
            <v>LY-115</v>
          </cell>
          <cell r="C675" t="str">
            <v>ESP</v>
          </cell>
          <cell r="D675">
            <v>44358</v>
          </cell>
          <cell r="E675">
            <v>0.58402777777777781</v>
          </cell>
          <cell r="F675">
            <v>6.9999999999999999E-4</v>
          </cell>
          <cell r="G675"/>
          <cell r="H675" t="str">
            <v>0,0012</v>
          </cell>
          <cell r="I675" t="str">
            <v>0,0032</v>
          </cell>
          <cell r="J675" t="str">
            <v>0,0032</v>
          </cell>
        </row>
        <row r="676">
          <cell r="B676" t="str">
            <v>LY-102</v>
          </cell>
          <cell r="C676" t="str">
            <v>ESP</v>
          </cell>
          <cell r="D676">
            <v>44362</v>
          </cell>
          <cell r="E676">
            <v>0.35555555555555557</v>
          </cell>
          <cell r="F676">
            <v>2.5499999999999998E-2</v>
          </cell>
          <cell r="G676"/>
          <cell r="H676" t="str">
            <v>0,062</v>
          </cell>
          <cell r="I676" t="str">
            <v>0,0465</v>
          </cell>
          <cell r="J676" t="str">
            <v>0,0108</v>
          </cell>
        </row>
        <row r="677">
          <cell r="B677" t="str">
            <v>LY-238</v>
          </cell>
          <cell r="C677" t="str">
            <v>ESP</v>
          </cell>
          <cell r="D677">
            <v>44362</v>
          </cell>
          <cell r="E677">
            <v>0.3666666666666667</v>
          </cell>
          <cell r="F677">
            <v>3.0000000000000001E-3</v>
          </cell>
          <cell r="G677"/>
          <cell r="H677" t="str">
            <v>0,0031</v>
          </cell>
          <cell r="I677" t="str">
            <v>0,0035</v>
          </cell>
          <cell r="J677" t="str">
            <v>0,0015</v>
          </cell>
        </row>
        <row r="678">
          <cell r="B678" t="str">
            <v>LY-142</v>
          </cell>
          <cell r="C678" t="str">
            <v>ESP</v>
          </cell>
          <cell r="D678">
            <v>44362</v>
          </cell>
          <cell r="E678">
            <v>0.56944444444444442</v>
          </cell>
          <cell r="F678">
            <v>1.32E-2</v>
          </cell>
          <cell r="G678"/>
          <cell r="H678" t="str">
            <v>0,0305</v>
          </cell>
          <cell r="I678" t="str">
            <v>0,038</v>
          </cell>
          <cell r="J678" t="str">
            <v>0,0119</v>
          </cell>
        </row>
        <row r="679">
          <cell r="B679" t="str">
            <v>LY-133</v>
          </cell>
          <cell r="C679" t="str">
            <v>ESP</v>
          </cell>
          <cell r="D679">
            <v>44362</v>
          </cell>
          <cell r="E679">
            <v>0.57500000000000007</v>
          </cell>
          <cell r="F679">
            <v>4.1999999999999997E-3</v>
          </cell>
          <cell r="G679"/>
          <cell r="H679" t="str">
            <v>0,018</v>
          </cell>
          <cell r="I679" t="str">
            <v>0,0163</v>
          </cell>
          <cell r="J679" t="str">
            <v>0,0086</v>
          </cell>
        </row>
        <row r="680">
          <cell r="B680" t="str">
            <v>LY-058</v>
          </cell>
          <cell r="C680" t="str">
            <v>ESP</v>
          </cell>
          <cell r="D680">
            <v>44363</v>
          </cell>
          <cell r="E680">
            <v>0.35902777777777778</v>
          </cell>
          <cell r="F680">
            <v>3.0999999999999999E-3</v>
          </cell>
          <cell r="G680"/>
          <cell r="H680" t="str">
            <v>0,0091</v>
          </cell>
          <cell r="I680" t="str">
            <v>0,0126</v>
          </cell>
          <cell r="J680" t="str">
            <v>0,009</v>
          </cell>
        </row>
        <row r="681">
          <cell r="B681" t="str">
            <v>LY-127</v>
          </cell>
          <cell r="C681" t="str">
            <v>ESP</v>
          </cell>
          <cell r="D681">
            <v>44363</v>
          </cell>
          <cell r="E681">
            <v>0.37291666666666662</v>
          </cell>
          <cell r="F681">
            <v>6.7000000000000002E-3</v>
          </cell>
          <cell r="G681"/>
          <cell r="H681" t="str">
            <v>0,0088</v>
          </cell>
          <cell r="I681" t="str">
            <v>0,0104</v>
          </cell>
          <cell r="J681" t="str">
            <v>0,0064</v>
          </cell>
        </row>
        <row r="682">
          <cell r="B682" t="str">
            <v>LY-242</v>
          </cell>
          <cell r="C682" t="str">
            <v>ESP</v>
          </cell>
          <cell r="D682">
            <v>44363</v>
          </cell>
          <cell r="E682">
            <v>0.58888888888888891</v>
          </cell>
          <cell r="F682">
            <v>2E-3</v>
          </cell>
          <cell r="G682"/>
          <cell r="H682" t="str">
            <v>0,0016</v>
          </cell>
          <cell r="I682" t="str">
            <v>0,0042</v>
          </cell>
          <cell r="J682" t="str">
            <v>0,0042</v>
          </cell>
        </row>
        <row r="683">
          <cell r="B683" t="str">
            <v>LY-228</v>
          </cell>
          <cell r="C683" t="str">
            <v>ESP</v>
          </cell>
          <cell r="D683">
            <v>44363</v>
          </cell>
          <cell r="E683">
            <v>0.58402777777777781</v>
          </cell>
          <cell r="F683">
            <v>1.1599999999999999E-2</v>
          </cell>
          <cell r="G683"/>
          <cell r="H683" t="str">
            <v>0,0301</v>
          </cell>
          <cell r="I683" t="str">
            <v>0,0225</v>
          </cell>
          <cell r="J683" t="str">
            <v>0,0095</v>
          </cell>
        </row>
        <row r="684">
          <cell r="B684" t="str">
            <v>LY-240</v>
          </cell>
          <cell r="C684" t="str">
            <v>ESP</v>
          </cell>
          <cell r="D684">
            <v>44364</v>
          </cell>
          <cell r="E684">
            <v>0.37013888888888885</v>
          </cell>
          <cell r="F684">
            <v>2.8999999999999998E-3</v>
          </cell>
          <cell r="G684"/>
          <cell r="H684" t="str">
            <v>0,005</v>
          </cell>
          <cell r="I684" t="str">
            <v>0,0054</v>
          </cell>
          <cell r="J684" t="str">
            <v>0,0074</v>
          </cell>
        </row>
        <row r="685">
          <cell r="B685" t="str">
            <v>LY-273</v>
          </cell>
          <cell r="C685" t="str">
            <v>ESP</v>
          </cell>
          <cell r="D685">
            <v>44364</v>
          </cell>
          <cell r="E685">
            <v>0.3756944444444445</v>
          </cell>
          <cell r="F685">
            <v>1.41E-2</v>
          </cell>
          <cell r="G685"/>
          <cell r="H685" t="str">
            <v>0,0567</v>
          </cell>
          <cell r="I685" t="str">
            <v>0,0661</v>
          </cell>
          <cell r="J685" t="str">
            <v>0,0242</v>
          </cell>
        </row>
        <row r="686">
          <cell r="B686" t="str">
            <v>LY-276</v>
          </cell>
          <cell r="C686" t="str">
            <v>BM</v>
          </cell>
          <cell r="D686">
            <v>44364</v>
          </cell>
          <cell r="E686">
            <v>0.58472222222222225</v>
          </cell>
          <cell r="F686">
            <v>1.8700000000000001E-2</v>
          </cell>
          <cell r="G686"/>
          <cell r="H686" t="str">
            <v>0,0306</v>
          </cell>
          <cell r="I686" t="str">
            <v>0,034</v>
          </cell>
          <cell r="J686" t="str">
            <v>0,0085</v>
          </cell>
        </row>
        <row r="687">
          <cell r="B687" t="str">
            <v>LY-147</v>
          </cell>
          <cell r="C687" t="str">
            <v>ESP</v>
          </cell>
          <cell r="D687">
            <v>44364</v>
          </cell>
          <cell r="E687">
            <v>0.59375</v>
          </cell>
          <cell r="F687">
            <v>2.0999999999999999E-3</v>
          </cell>
          <cell r="G687"/>
          <cell r="H687" t="str">
            <v>0,0019</v>
          </cell>
          <cell r="I687" t="str">
            <v>0,0025</v>
          </cell>
          <cell r="J687" t="str">
            <v>0,0044</v>
          </cell>
        </row>
        <row r="688">
          <cell r="B688" t="str">
            <v>LY-158</v>
          </cell>
          <cell r="C688" t="str">
            <v>ESP</v>
          </cell>
          <cell r="D688">
            <v>44365</v>
          </cell>
          <cell r="E688">
            <v>0.36249999999999999</v>
          </cell>
          <cell r="F688">
            <v>8.6199999999999999E-2</v>
          </cell>
          <cell r="G688"/>
          <cell r="H688" t="str">
            <v>0,1048</v>
          </cell>
          <cell r="I688" t="str">
            <v>0,0739</v>
          </cell>
          <cell r="J688" t="str">
            <v>0,0127</v>
          </cell>
        </row>
        <row r="689">
          <cell r="B689" t="str">
            <v>LY-164</v>
          </cell>
          <cell r="C689" t="str">
            <v>ESP</v>
          </cell>
          <cell r="D689">
            <v>44365</v>
          </cell>
          <cell r="E689">
            <v>0.35486111111111113</v>
          </cell>
          <cell r="F689">
            <v>8.2000000000000007E-3</v>
          </cell>
          <cell r="G689"/>
          <cell r="H689" t="str">
            <v>0,0086</v>
          </cell>
          <cell r="I689" t="str">
            <v>0,0106</v>
          </cell>
          <cell r="J689" t="str">
            <v>0,0072</v>
          </cell>
        </row>
        <row r="690">
          <cell r="B690" t="str">
            <v>LY-290</v>
          </cell>
          <cell r="C690" t="str">
            <v>ESP</v>
          </cell>
          <cell r="D690">
            <v>44365</v>
          </cell>
          <cell r="E690">
            <v>0.57708333333333328</v>
          </cell>
          <cell r="F690">
            <v>1.0999999999999999E-2</v>
          </cell>
          <cell r="G690"/>
          <cell r="H690" t="str">
            <v>0,0316</v>
          </cell>
          <cell r="I690" t="str">
            <v>0,0815</v>
          </cell>
          <cell r="J690" t="str">
            <v>0,0242</v>
          </cell>
        </row>
        <row r="691">
          <cell r="B691" t="str">
            <v>LY-288</v>
          </cell>
          <cell r="C691" t="str">
            <v>ESP</v>
          </cell>
          <cell r="D691">
            <v>44365</v>
          </cell>
          <cell r="E691">
            <v>0.58263888888888882</v>
          </cell>
          <cell r="F691">
            <v>3.5099999999999999E-2</v>
          </cell>
          <cell r="G691"/>
          <cell r="H691" t="str">
            <v>0,0522</v>
          </cell>
          <cell r="I691" t="str">
            <v>0,0168</v>
          </cell>
          <cell r="J691" t="str">
            <v>0,0045</v>
          </cell>
        </row>
        <row r="692">
          <cell r="B692" t="str">
            <v>LY-143</v>
          </cell>
          <cell r="C692" t="str">
            <v>ESP</v>
          </cell>
          <cell r="D692">
            <v>44368</v>
          </cell>
          <cell r="E692">
            <v>0.30972222222222223</v>
          </cell>
          <cell r="F692">
            <v>5.5999999999999999E-3</v>
          </cell>
          <cell r="G692"/>
          <cell r="H692" t="str">
            <v>0,0136</v>
          </cell>
          <cell r="I692" t="str">
            <v>0,0143</v>
          </cell>
          <cell r="J692" t="str">
            <v>0,0041</v>
          </cell>
        </row>
        <row r="693">
          <cell r="B693" t="str">
            <v>CL-056</v>
          </cell>
          <cell r="C693" t="str">
            <v>ESP</v>
          </cell>
          <cell r="D693">
            <v>44368</v>
          </cell>
          <cell r="E693">
            <v>0.33194444444444443</v>
          </cell>
          <cell r="F693">
            <v>4.4999999999999997E-3</v>
          </cell>
          <cell r="G693"/>
          <cell r="H693" t="str">
            <v>0,0066</v>
          </cell>
          <cell r="I693" t="str">
            <v>0,0158</v>
          </cell>
          <cell r="J693" t="str">
            <v>0,0269</v>
          </cell>
        </row>
        <row r="694">
          <cell r="B694" t="str">
            <v>LY-052</v>
          </cell>
          <cell r="C694" t="str">
            <v>BM</v>
          </cell>
          <cell r="D694">
            <v>44368</v>
          </cell>
          <cell r="E694">
            <v>0.56388888888888888</v>
          </cell>
          <cell r="F694">
            <v>3.3999999999999998E-3</v>
          </cell>
          <cell r="G694"/>
          <cell r="H694" t="str">
            <v>0,0038</v>
          </cell>
          <cell r="I694" t="str">
            <v>0,003</v>
          </cell>
          <cell r="J694" t="str">
            <v>0,0045</v>
          </cell>
        </row>
        <row r="695">
          <cell r="B695" t="str">
            <v>LY-287</v>
          </cell>
          <cell r="C695" t="str">
            <v>ESP</v>
          </cell>
          <cell r="D695">
            <v>44368</v>
          </cell>
          <cell r="E695">
            <v>0.57430555555555551</v>
          </cell>
          <cell r="F695">
            <v>2.3E-3</v>
          </cell>
          <cell r="G695"/>
          <cell r="H695" t="str">
            <v>0,0031</v>
          </cell>
          <cell r="I695" t="str">
            <v>0,0045</v>
          </cell>
          <cell r="J695" t="str">
            <v>0,0034</v>
          </cell>
        </row>
        <row r="696">
          <cell r="B696" t="str">
            <v>LY-177</v>
          </cell>
          <cell r="C696" t="str">
            <v>ESP</v>
          </cell>
          <cell r="D696">
            <v>44369</v>
          </cell>
          <cell r="E696">
            <v>0.35416666666666669</v>
          </cell>
          <cell r="F696">
            <v>2.5999999999999999E-3</v>
          </cell>
          <cell r="G696"/>
          <cell r="H696" t="str">
            <v>0,0023</v>
          </cell>
          <cell r="I696" t="str">
            <v>0,0028</v>
          </cell>
          <cell r="J696" t="str">
            <v>0,0022</v>
          </cell>
        </row>
        <row r="697">
          <cell r="B697" t="str">
            <v>LY-117</v>
          </cell>
          <cell r="C697" t="str">
            <v>ESP</v>
          </cell>
          <cell r="D697">
            <v>44369</v>
          </cell>
          <cell r="E697">
            <v>0.36458333333333331</v>
          </cell>
          <cell r="F697">
            <v>1.95E-2</v>
          </cell>
          <cell r="G697"/>
          <cell r="H697" t="str">
            <v>0,0612</v>
          </cell>
          <cell r="I697" t="str">
            <v>0,0531</v>
          </cell>
          <cell r="J697" t="str">
            <v>0,0105</v>
          </cell>
        </row>
        <row r="698">
          <cell r="B698" t="str">
            <v>LY-168</v>
          </cell>
          <cell r="C698" t="str">
            <v>ESP</v>
          </cell>
          <cell r="D698">
            <v>44369</v>
          </cell>
          <cell r="E698">
            <v>0.57638888888888895</v>
          </cell>
          <cell r="F698">
            <v>7.0000000000000001E-3</v>
          </cell>
          <cell r="H698">
            <v>7.0000000000000001E-3</v>
          </cell>
          <cell r="I698">
            <v>6.8999999999999999E-3</v>
          </cell>
          <cell r="J698">
            <v>7.9000000000000008E-3</v>
          </cell>
        </row>
        <row r="699">
          <cell r="B699" t="str">
            <v>LY-219</v>
          </cell>
          <cell r="C699" t="str">
            <v>ESP</v>
          </cell>
          <cell r="D699">
            <v>44369</v>
          </cell>
          <cell r="E699">
            <v>0.56458333333333333</v>
          </cell>
          <cell r="F699">
            <v>6.8999999999999999E-3</v>
          </cell>
          <cell r="H699">
            <v>2.35E-2</v>
          </cell>
          <cell r="I699">
            <v>2.3199999999999998E-2</v>
          </cell>
          <cell r="J699">
            <v>8.6E-3</v>
          </cell>
        </row>
        <row r="700">
          <cell r="B700" t="str">
            <v>LY-279</v>
          </cell>
          <cell r="C700" t="str">
            <v>ESP</v>
          </cell>
          <cell r="D700">
            <v>44370</v>
          </cell>
          <cell r="E700">
            <v>0.36736111111111108</v>
          </cell>
          <cell r="F700">
            <v>2.7E-2</v>
          </cell>
          <cell r="H700">
            <v>3.9800000000000002E-2</v>
          </cell>
          <cell r="I700">
            <v>0.17349999999999999</v>
          </cell>
          <cell r="J700">
            <v>0.03</v>
          </cell>
        </row>
        <row r="701">
          <cell r="B701" t="str">
            <v>LY-231</v>
          </cell>
          <cell r="C701" t="str">
            <v>ESP</v>
          </cell>
          <cell r="D701">
            <v>44370</v>
          </cell>
          <cell r="E701">
            <v>0.37291666666666662</v>
          </cell>
          <cell r="F701">
            <v>1.04E-2</v>
          </cell>
          <cell r="H701">
            <v>1.2800000000000001E-2</v>
          </cell>
          <cell r="I701">
            <v>1.18E-2</v>
          </cell>
          <cell r="J701">
            <v>5.0000000000000001E-3</v>
          </cell>
        </row>
        <row r="702">
          <cell r="B702" t="str">
            <v>LY-282</v>
          </cell>
          <cell r="C702" t="str">
            <v>ESP</v>
          </cell>
          <cell r="D702">
            <v>44370</v>
          </cell>
          <cell r="E702">
            <v>0.57708333333333328</v>
          </cell>
          <cell r="F702">
            <v>2.5000000000000001E-3</v>
          </cell>
          <cell r="H702">
            <v>2.8999999999999998E-3</v>
          </cell>
          <cell r="I702">
            <v>6.3E-3</v>
          </cell>
          <cell r="J702">
            <v>5.7000000000000002E-3</v>
          </cell>
        </row>
        <row r="703">
          <cell r="B703" t="str">
            <v>LY-012</v>
          </cell>
          <cell r="C703" t="str">
            <v>ESP</v>
          </cell>
          <cell r="D703">
            <v>44370</v>
          </cell>
          <cell r="E703">
            <v>0.61805555555555558</v>
          </cell>
          <cell r="F703">
            <v>5.0000000000000001E-3</v>
          </cell>
          <cell r="H703">
            <v>1.4200000000000001E-2</v>
          </cell>
          <cell r="I703">
            <v>2.2599999999999999E-2</v>
          </cell>
          <cell r="J703">
            <v>9.4000000000000004E-3</v>
          </cell>
        </row>
        <row r="704">
          <cell r="B704" t="str">
            <v>LY-028</v>
          </cell>
          <cell r="C704" t="str">
            <v>ESP</v>
          </cell>
          <cell r="D704">
            <v>44371</v>
          </cell>
          <cell r="E704">
            <v>0.32847222222222222</v>
          </cell>
          <cell r="F704">
            <v>1.17E-2</v>
          </cell>
          <cell r="H704">
            <v>3.0099999999999998E-2</v>
          </cell>
          <cell r="I704">
            <v>5.2200000000000003E-2</v>
          </cell>
          <cell r="J704">
            <v>0.01</v>
          </cell>
        </row>
        <row r="705">
          <cell r="B705" t="str">
            <v>LY-149</v>
          </cell>
          <cell r="C705" t="str">
            <v>ESP</v>
          </cell>
          <cell r="D705">
            <v>44371</v>
          </cell>
          <cell r="E705">
            <v>0.32291666666666669</v>
          </cell>
          <cell r="F705">
            <v>4.0000000000000001E-3</v>
          </cell>
          <cell r="H705">
            <v>2E-3</v>
          </cell>
          <cell r="I705">
            <v>4.4999999999999997E-3</v>
          </cell>
          <cell r="J705">
            <v>2.5999999999999999E-3</v>
          </cell>
        </row>
        <row r="706">
          <cell r="B706" t="str">
            <v>LY-019</v>
          </cell>
          <cell r="C706" t="str">
            <v>ESP</v>
          </cell>
          <cell r="D706">
            <v>44371</v>
          </cell>
          <cell r="E706">
            <v>0.56527777777777777</v>
          </cell>
          <cell r="F706">
            <v>7.0000000000000001E-3</v>
          </cell>
          <cell r="H706">
            <v>1.4500000000000001E-2</v>
          </cell>
          <cell r="I706">
            <v>1.4500000000000001E-2</v>
          </cell>
          <cell r="J706">
            <v>3.8999999999999998E-3</v>
          </cell>
        </row>
        <row r="707">
          <cell r="B707" t="str">
            <v>LY-014</v>
          </cell>
          <cell r="C707" t="str">
            <v>BM</v>
          </cell>
          <cell r="D707">
            <v>44371</v>
          </cell>
          <cell r="E707">
            <v>0.57291666666666663</v>
          </cell>
          <cell r="F707">
            <v>3.7000000000000002E-3</v>
          </cell>
          <cell r="H707">
            <v>2.8999999999999998E-3</v>
          </cell>
          <cell r="I707">
            <v>2.8999999999999998E-3</v>
          </cell>
          <cell r="J707">
            <v>2.0999999999999999E-3</v>
          </cell>
        </row>
        <row r="708">
          <cell r="B708" t="str">
            <v>LY-195</v>
          </cell>
          <cell r="C708" t="str">
            <v>ESP</v>
          </cell>
          <cell r="D708">
            <v>44372</v>
          </cell>
          <cell r="E708">
            <v>0.33124999999999999</v>
          </cell>
          <cell r="F708">
            <v>1.5E-3</v>
          </cell>
          <cell r="H708">
            <v>2.3E-3</v>
          </cell>
          <cell r="I708">
            <v>4.1000000000000003E-3</v>
          </cell>
          <cell r="J708">
            <v>2.8E-3</v>
          </cell>
        </row>
        <row r="709">
          <cell r="B709" t="str">
            <v>LY-030</v>
          </cell>
          <cell r="C709" t="str">
            <v>ESP</v>
          </cell>
          <cell r="D709">
            <v>44372</v>
          </cell>
          <cell r="E709">
            <v>0.33888888888888885</v>
          </cell>
          <cell r="F709">
            <v>1.0500000000000001E-2</v>
          </cell>
          <cell r="H709">
            <v>1.8200000000000001E-2</v>
          </cell>
          <cell r="I709">
            <v>2.46E-2</v>
          </cell>
          <cell r="J709">
            <v>3.5000000000000001E-3</v>
          </cell>
        </row>
        <row r="710">
          <cell r="B710" t="str">
            <v>LY-040</v>
          </cell>
          <cell r="C710" t="str">
            <v>ESP</v>
          </cell>
          <cell r="D710">
            <v>44372</v>
          </cell>
          <cell r="E710">
            <v>0.57291666666666663</v>
          </cell>
          <cell r="F710">
            <v>3.7000000000000002E-3</v>
          </cell>
          <cell r="H710">
            <v>3.3E-3</v>
          </cell>
          <cell r="I710">
            <v>2.5000000000000001E-3</v>
          </cell>
          <cell r="J710">
            <v>3.3999999999999998E-3</v>
          </cell>
        </row>
        <row r="711">
          <cell r="B711" t="str">
            <v>LY-180</v>
          </cell>
          <cell r="C711" t="str">
            <v>ESP</v>
          </cell>
          <cell r="D711">
            <v>44372</v>
          </cell>
          <cell r="E711">
            <v>0.56944444444444442</v>
          </cell>
          <cell r="F711">
            <v>2.8E-3</v>
          </cell>
          <cell r="H711">
            <v>2.8E-3</v>
          </cell>
          <cell r="I711">
            <v>3.2000000000000002E-3</v>
          </cell>
          <cell r="J711">
            <v>4.3E-3</v>
          </cell>
        </row>
        <row r="712">
          <cell r="B712" t="str">
            <v>LY-104</v>
          </cell>
          <cell r="C712" t="str">
            <v>ESP</v>
          </cell>
          <cell r="D712">
            <v>44379</v>
          </cell>
          <cell r="E712">
            <v>0.3298611111111111</v>
          </cell>
          <cell r="F712">
            <v>3.5000000000000001E-3</v>
          </cell>
          <cell r="G712"/>
          <cell r="H712">
            <v>2.3E-3</v>
          </cell>
          <cell r="I712">
            <v>8.3000000000000001E-3</v>
          </cell>
          <cell r="J712">
            <v>3.9399999999999998E-2</v>
          </cell>
        </row>
        <row r="713">
          <cell r="B713" t="str">
            <v>LY-159</v>
          </cell>
          <cell r="C713" t="str">
            <v>ESP</v>
          </cell>
          <cell r="D713">
            <v>44379</v>
          </cell>
          <cell r="E713">
            <v>0.34930555555555554</v>
          </cell>
          <cell r="F713">
            <v>3.3999999999999998E-3</v>
          </cell>
          <cell r="G713"/>
          <cell r="H713">
            <v>6.0000000000000001E-3</v>
          </cell>
          <cell r="I713">
            <v>1.0500000000000001E-2</v>
          </cell>
          <cell r="J713">
            <v>4.7999999999999996E-3</v>
          </cell>
        </row>
        <row r="714">
          <cell r="B714" t="str">
            <v>LY-136</v>
          </cell>
          <cell r="C714" t="str">
            <v>ESP</v>
          </cell>
          <cell r="D714">
            <v>44379</v>
          </cell>
          <cell r="E714">
            <v>0.56180555555555556</v>
          </cell>
          <cell r="F714">
            <v>6.6E-3</v>
          </cell>
          <cell r="G714"/>
          <cell r="H714">
            <v>9.2999999999999992E-3</v>
          </cell>
          <cell r="I714">
            <v>9.9000000000000008E-3</v>
          </cell>
          <cell r="J714">
            <v>2.53E-2</v>
          </cell>
        </row>
        <row r="715">
          <cell r="B715" t="str">
            <v>MN-66</v>
          </cell>
          <cell r="C715" t="str">
            <v>ESP</v>
          </cell>
          <cell r="D715">
            <v>44379</v>
          </cell>
          <cell r="E715">
            <v>0.57777777777777783</v>
          </cell>
          <cell r="F715">
            <v>9.1000000000000004E-3</v>
          </cell>
          <cell r="G715"/>
          <cell r="H715">
            <v>7.9000000000000008E-3</v>
          </cell>
          <cell r="I715">
            <v>3.2300000000000002E-2</v>
          </cell>
          <cell r="J715">
            <v>1.47E-2</v>
          </cell>
        </row>
        <row r="716">
          <cell r="B716" t="str">
            <v>CY-30</v>
          </cell>
          <cell r="C716" t="str">
            <v>ESP</v>
          </cell>
          <cell r="D716">
            <v>44383</v>
          </cell>
          <cell r="E716">
            <v>0.36319444444444443</v>
          </cell>
          <cell r="F716">
            <v>2.3400000000000001E-2</v>
          </cell>
          <cell r="G716"/>
          <cell r="H716">
            <v>3.3E-3</v>
          </cell>
          <cell r="I716">
            <v>1.34E-2</v>
          </cell>
          <cell r="J716">
            <v>9.4000000000000004E-3</v>
          </cell>
        </row>
        <row r="717">
          <cell r="B717" t="str">
            <v>CY-49</v>
          </cell>
          <cell r="C717" t="str">
            <v>ESP</v>
          </cell>
          <cell r="D717">
            <v>44383</v>
          </cell>
          <cell r="E717">
            <v>0.40416666666666662</v>
          </cell>
          <cell r="F717">
            <v>1.12E-2</v>
          </cell>
          <cell r="G717"/>
          <cell r="H717">
            <v>1.3100000000000001E-2</v>
          </cell>
          <cell r="I717">
            <v>1.83E-2</v>
          </cell>
          <cell r="J717">
            <v>9.7999999999999997E-3</v>
          </cell>
        </row>
        <row r="718">
          <cell r="B718" t="str">
            <v>MN-68ST</v>
          </cell>
          <cell r="C718" t="str">
            <v>ESP</v>
          </cell>
          <cell r="D718">
            <v>44383</v>
          </cell>
          <cell r="E718">
            <v>0.59097222222222223</v>
          </cell>
          <cell r="F718">
            <v>2.86E-2</v>
          </cell>
          <cell r="G718"/>
          <cell r="H718">
            <v>1.17E-2</v>
          </cell>
          <cell r="I718">
            <v>2.0299999999999999E-2</v>
          </cell>
          <cell r="J718">
            <v>5.5800000000000002E-2</v>
          </cell>
        </row>
        <row r="719">
          <cell r="B719" t="str">
            <v>MN-74</v>
          </cell>
          <cell r="C719" t="str">
            <v>ESP</v>
          </cell>
          <cell r="D719">
            <v>44383</v>
          </cell>
          <cell r="E719">
            <v>0.59722222222222221</v>
          </cell>
          <cell r="F719">
            <v>8.5000000000000006E-3</v>
          </cell>
          <cell r="G719"/>
          <cell r="H719">
            <v>1.29E-2</v>
          </cell>
          <cell r="I719">
            <v>1.35E-2</v>
          </cell>
          <cell r="J719">
            <v>7.1999999999999998E-3</v>
          </cell>
        </row>
        <row r="720">
          <cell r="B720" t="str">
            <v>MN-58</v>
          </cell>
          <cell r="C720" t="str">
            <v>ESP</v>
          </cell>
          <cell r="D720">
            <v>44384</v>
          </cell>
          <cell r="E720">
            <v>0.34375</v>
          </cell>
          <cell r="F720">
            <v>1.7100000000000001E-2</v>
          </cell>
          <cell r="G720"/>
          <cell r="H720">
            <v>1.46E-2</v>
          </cell>
          <cell r="I720">
            <v>2.1100000000000001E-2</v>
          </cell>
          <cell r="J720">
            <v>1.4200000000000001E-2</v>
          </cell>
        </row>
        <row r="721">
          <cell r="B721" t="str">
            <v>MN-43</v>
          </cell>
          <cell r="C721" t="str">
            <v>ESP</v>
          </cell>
          <cell r="D721">
            <v>44384</v>
          </cell>
          <cell r="E721">
            <v>0.35138888888888892</v>
          </cell>
          <cell r="F721">
            <v>3.8999999999999998E-3</v>
          </cell>
          <cell r="G721"/>
          <cell r="H721">
            <v>1.2999999999999999E-3</v>
          </cell>
          <cell r="I721">
            <v>2.2599999999999999E-2</v>
          </cell>
          <cell r="J721">
            <v>2.3599999999999999E-2</v>
          </cell>
        </row>
        <row r="722">
          <cell r="B722" t="str">
            <v>MN-40</v>
          </cell>
          <cell r="C722" t="str">
            <v>ESP</v>
          </cell>
          <cell r="D722">
            <v>44384</v>
          </cell>
          <cell r="E722">
            <v>0.55902777777777779</v>
          </cell>
          <cell r="F722">
            <v>6.1000000000000004E-3</v>
          </cell>
          <cell r="G722"/>
          <cell r="H722">
            <v>9.2999999999999992E-3</v>
          </cell>
          <cell r="I722">
            <v>6.4000000000000003E-3</v>
          </cell>
          <cell r="J722">
            <v>5.0000000000000001E-3</v>
          </cell>
        </row>
        <row r="723">
          <cell r="B723" t="str">
            <v>MN-17</v>
          </cell>
          <cell r="C723" t="str">
            <v>ESP</v>
          </cell>
          <cell r="D723">
            <v>44384</v>
          </cell>
          <cell r="E723">
            <v>0.5708333333333333</v>
          </cell>
          <cell r="F723">
            <v>2.8999999999999998E-3</v>
          </cell>
          <cell r="G723"/>
          <cell r="H723">
            <v>3.3999999999999998E-3</v>
          </cell>
          <cell r="I723">
            <v>1.01E-2</v>
          </cell>
          <cell r="J723">
            <v>5.1999999999999998E-3</v>
          </cell>
        </row>
        <row r="724">
          <cell r="B724" t="str">
            <v>MN-95</v>
          </cell>
          <cell r="C724" t="str">
            <v>ESP</v>
          </cell>
          <cell r="D724">
            <v>44385</v>
          </cell>
          <cell r="E724">
            <v>0.31041666666666667</v>
          </cell>
          <cell r="F724">
            <v>3.5000000000000001E-3</v>
          </cell>
          <cell r="G724"/>
          <cell r="H724">
            <v>2.5999999999999999E-3</v>
          </cell>
          <cell r="I724">
            <v>7.4000000000000003E-3</v>
          </cell>
          <cell r="J724">
            <v>8.5000000000000006E-3</v>
          </cell>
        </row>
        <row r="725">
          <cell r="B725" t="str">
            <v>MN-44</v>
          </cell>
          <cell r="C725" t="str">
            <v>ESP</v>
          </cell>
          <cell r="D725">
            <v>44385</v>
          </cell>
          <cell r="E725">
            <v>0.31944444444444448</v>
          </cell>
          <cell r="F725">
            <v>2.0999999999999999E-3</v>
          </cell>
          <cell r="G725"/>
          <cell r="H725">
            <v>3.8999999999999998E-3</v>
          </cell>
          <cell r="I725">
            <v>4.1000000000000003E-3</v>
          </cell>
          <cell r="J725">
            <v>5.1999999999999998E-3</v>
          </cell>
        </row>
        <row r="726">
          <cell r="B726" t="str">
            <v>MN-80</v>
          </cell>
          <cell r="C726" t="str">
            <v>ESP</v>
          </cell>
          <cell r="D726">
            <v>44385</v>
          </cell>
          <cell r="E726">
            <v>0.56736111111111109</v>
          </cell>
          <cell r="F726">
            <v>3.5000000000000001E-3</v>
          </cell>
          <cell r="G726"/>
          <cell r="H726">
            <v>7.9000000000000008E-3</v>
          </cell>
          <cell r="I726">
            <v>1.04E-2</v>
          </cell>
          <cell r="J726">
            <v>7.4000000000000003E-3</v>
          </cell>
        </row>
        <row r="727">
          <cell r="B727" t="str">
            <v>MN-37</v>
          </cell>
          <cell r="C727" t="str">
            <v>ESP</v>
          </cell>
          <cell r="D727">
            <v>44385</v>
          </cell>
          <cell r="E727">
            <v>0.57152777777777775</v>
          </cell>
          <cell r="F727">
            <v>7.4999999999999997E-3</v>
          </cell>
          <cell r="G727"/>
          <cell r="H727">
            <v>3.3E-3</v>
          </cell>
          <cell r="I727">
            <v>6.7000000000000002E-3</v>
          </cell>
          <cell r="J727">
            <v>5.1999999999999998E-3</v>
          </cell>
        </row>
        <row r="728">
          <cell r="B728" t="str">
            <v>MN-75</v>
          </cell>
          <cell r="C728" t="str">
            <v>ESP</v>
          </cell>
          <cell r="D728">
            <v>44386</v>
          </cell>
          <cell r="E728">
            <v>0.34583333333333338</v>
          </cell>
          <cell r="F728">
            <v>3.3E-3</v>
          </cell>
          <cell r="G728"/>
          <cell r="H728">
            <v>3.0999999999999999E-3</v>
          </cell>
          <cell r="I728">
            <v>1.4E-2</v>
          </cell>
          <cell r="J728">
            <v>8.9999999999999993E-3</v>
          </cell>
        </row>
        <row r="729">
          <cell r="B729" t="str">
            <v>MN-87ST</v>
          </cell>
          <cell r="C729" t="str">
            <v>ESP</v>
          </cell>
          <cell r="D729">
            <v>44386</v>
          </cell>
          <cell r="E729">
            <v>0.3520833333333333</v>
          </cell>
          <cell r="F729">
            <v>2.0999999999999999E-3</v>
          </cell>
          <cell r="G729"/>
          <cell r="H729">
            <v>5.5999999999999999E-3</v>
          </cell>
          <cell r="I729">
            <v>2.3199999999999998E-2</v>
          </cell>
          <cell r="J729">
            <v>7.4999999999999997E-3</v>
          </cell>
        </row>
        <row r="730">
          <cell r="B730" t="str">
            <v>MN-41</v>
          </cell>
          <cell r="C730" t="str">
            <v>ESP</v>
          </cell>
          <cell r="D730">
            <v>44386</v>
          </cell>
          <cell r="E730">
            <v>0.55972222222222223</v>
          </cell>
          <cell r="F730">
            <v>3.8999999999999998E-3</v>
          </cell>
          <cell r="G730"/>
          <cell r="H730">
            <v>6.6E-3</v>
          </cell>
          <cell r="I730">
            <v>6.59E-2</v>
          </cell>
          <cell r="J730">
            <v>1.2800000000000001E-2</v>
          </cell>
        </row>
        <row r="731">
          <cell r="B731" t="str">
            <v>LY-285</v>
          </cell>
          <cell r="C731" t="str">
            <v>ESP</v>
          </cell>
          <cell r="D731">
            <v>44386</v>
          </cell>
          <cell r="E731">
            <v>0.58472222222222225</v>
          </cell>
          <cell r="F731">
            <v>6.7999999999999996E-3</v>
          </cell>
          <cell r="G731"/>
          <cell r="H731">
            <v>1.17E-2</v>
          </cell>
          <cell r="I731">
            <v>4.8899999999999999E-2</v>
          </cell>
          <cell r="J731">
            <v>8.1100000000000005E-2</v>
          </cell>
        </row>
        <row r="732">
          <cell r="B732" t="str">
            <v>MCA-01</v>
          </cell>
          <cell r="C732" t="str">
            <v>ESP</v>
          </cell>
          <cell r="D732">
            <v>44393</v>
          </cell>
          <cell r="E732">
            <v>0.32777777777777778</v>
          </cell>
          <cell r="F732">
            <v>5.1000000000000004E-3</v>
          </cell>
          <cell r="G732"/>
          <cell r="H732">
            <v>9.9000000000000008E-3</v>
          </cell>
          <cell r="I732">
            <v>2.24E-2</v>
          </cell>
          <cell r="J732">
            <v>1.3100000000000001E-2</v>
          </cell>
        </row>
        <row r="733">
          <cell r="B733" t="str">
            <v>CL-06</v>
          </cell>
          <cell r="C733" t="str">
            <v>ESP</v>
          </cell>
          <cell r="D733">
            <v>44393</v>
          </cell>
          <cell r="E733">
            <v>0.34583333333333338</v>
          </cell>
          <cell r="F733">
            <v>5.4000000000000003E-3</v>
          </cell>
          <cell r="G733"/>
          <cell r="H733">
            <v>2.5000000000000001E-3</v>
          </cell>
          <cell r="I733">
            <v>9.2999999999999992E-3</v>
          </cell>
          <cell r="J733">
            <v>1.43E-2</v>
          </cell>
        </row>
        <row r="734">
          <cell r="B734" t="str">
            <v>CL-42</v>
          </cell>
          <cell r="C734" t="str">
            <v>ESP</v>
          </cell>
          <cell r="D734">
            <v>44393</v>
          </cell>
          <cell r="E734">
            <v>0.54999999999999993</v>
          </cell>
          <cell r="F734">
            <v>6.7999999999999996E-3</v>
          </cell>
          <cell r="G734"/>
          <cell r="H734">
            <v>4.4000000000000003E-3</v>
          </cell>
          <cell r="I734">
            <v>1.26E-2</v>
          </cell>
          <cell r="J734">
            <v>1.38E-2</v>
          </cell>
        </row>
        <row r="735">
          <cell r="B735" t="str">
            <v>CL-21</v>
          </cell>
          <cell r="C735" t="str">
            <v>ESP</v>
          </cell>
          <cell r="D735">
            <v>44393</v>
          </cell>
          <cell r="E735">
            <v>0.56388888888888888</v>
          </cell>
          <cell r="F735">
            <v>4.4999999999999997E-3</v>
          </cell>
          <cell r="G735"/>
          <cell r="H735">
            <v>4.4000000000000003E-3</v>
          </cell>
          <cell r="I735">
            <v>9.7000000000000003E-3</v>
          </cell>
          <cell r="J735">
            <v>1.7399999999999999E-2</v>
          </cell>
        </row>
        <row r="736">
          <cell r="B736" t="str">
            <v>LY-267</v>
          </cell>
          <cell r="C736" t="str">
            <v>ESP</v>
          </cell>
          <cell r="D736">
            <v>44400</v>
          </cell>
          <cell r="E736">
            <v>0.39166666666666666</v>
          </cell>
          <cell r="F736">
            <v>4.5999999999999999E-3</v>
          </cell>
          <cell r="G736"/>
          <cell r="H736">
            <v>2.3900000000000001E-2</v>
          </cell>
          <cell r="I736">
            <v>5.91E-2</v>
          </cell>
          <cell r="J736">
            <v>1.2800000000000001E-2</v>
          </cell>
        </row>
        <row r="737">
          <cell r="B737" t="str">
            <v>LY-027</v>
          </cell>
          <cell r="C737" t="str">
            <v>ESP</v>
          </cell>
          <cell r="D737">
            <v>44400</v>
          </cell>
          <cell r="E737">
            <v>0.40972222222222227</v>
          </cell>
          <cell r="F737">
            <v>9.7199999999999995E-2</v>
          </cell>
          <cell r="G737"/>
          <cell r="H737">
            <v>7.3899999999999993E-2</v>
          </cell>
          <cell r="I737">
            <v>4.3999999999999997E-2</v>
          </cell>
          <cell r="J737">
            <v>2.1700000000000001E-2</v>
          </cell>
        </row>
        <row r="738">
          <cell r="B738" t="str">
            <v>LY-218</v>
          </cell>
          <cell r="C738" t="str">
            <v>ESP</v>
          </cell>
          <cell r="D738">
            <v>44400</v>
          </cell>
          <cell r="E738">
            <v>0.58888888888888891</v>
          </cell>
          <cell r="F738">
            <v>4.4299999999999999E-2</v>
          </cell>
          <cell r="G738"/>
          <cell r="H738">
            <v>7.4899999999999994E-2</v>
          </cell>
          <cell r="I738">
            <v>8.7499999999999994E-2</v>
          </cell>
          <cell r="J738">
            <v>2.76E-2</v>
          </cell>
        </row>
        <row r="739">
          <cell r="B739" t="str">
            <v>LY-233</v>
          </cell>
          <cell r="C739" t="str">
            <v>ESP</v>
          </cell>
          <cell r="D739">
            <v>44400</v>
          </cell>
          <cell r="E739">
            <v>0.61111111111111105</v>
          </cell>
          <cell r="F739">
            <v>1.23E-2</v>
          </cell>
          <cell r="G739"/>
          <cell r="H739">
            <v>2.3300000000000001E-2</v>
          </cell>
          <cell r="I739">
            <v>7.7700000000000005E-2</v>
          </cell>
          <cell r="J739">
            <v>3.3500000000000002E-2</v>
          </cell>
        </row>
        <row r="740">
          <cell r="B740" t="str">
            <v>LY-055</v>
          </cell>
          <cell r="C740" t="str">
            <v>ESP</v>
          </cell>
          <cell r="D740">
            <v>44403</v>
          </cell>
          <cell r="E740">
            <v>0.32569444444444445</v>
          </cell>
          <cell r="F740">
            <v>1.43E-2</v>
          </cell>
          <cell r="G740"/>
          <cell r="H740">
            <v>9.7000000000000003E-3</v>
          </cell>
          <cell r="I740">
            <v>0.108</v>
          </cell>
          <cell r="J740">
            <v>3.1300000000000001E-2</v>
          </cell>
        </row>
        <row r="741">
          <cell r="B741" t="str">
            <v>LY-206</v>
          </cell>
          <cell r="C741" t="str">
            <v>ESP</v>
          </cell>
          <cell r="D741">
            <v>44403</v>
          </cell>
          <cell r="E741">
            <v>0.34027777777777773</v>
          </cell>
          <cell r="F741">
            <v>4.7600000000000003E-2</v>
          </cell>
          <cell r="G741"/>
          <cell r="H741">
            <v>7.6899999999999996E-2</v>
          </cell>
          <cell r="I741">
            <v>8.5599999999999996E-2</v>
          </cell>
          <cell r="J741">
            <v>1.66E-2</v>
          </cell>
        </row>
        <row r="742">
          <cell r="B742" t="str">
            <v>MN-68ST</v>
          </cell>
          <cell r="C742" t="str">
            <v>ESP</v>
          </cell>
          <cell r="D742">
            <v>44403</v>
          </cell>
          <cell r="E742" t="str">
            <v>13:42 p. m.</v>
          </cell>
          <cell r="F742">
            <v>1.03E-2</v>
          </cell>
          <cell r="G742"/>
          <cell r="H742">
            <v>3.4500000000000003E-2</v>
          </cell>
          <cell r="I742">
            <v>0.1028</v>
          </cell>
          <cell r="J742">
            <v>0.1545</v>
          </cell>
        </row>
        <row r="743">
          <cell r="B743" t="str">
            <v>CY-84</v>
          </cell>
          <cell r="C743" t="str">
            <v>ESP</v>
          </cell>
          <cell r="D743">
            <v>44403</v>
          </cell>
          <cell r="E743">
            <v>0.58819444444444446</v>
          </cell>
          <cell r="F743">
            <v>2.3900000000000001E-2</v>
          </cell>
          <cell r="G743"/>
          <cell r="H743">
            <v>4.1700000000000001E-2</v>
          </cell>
          <cell r="I743">
            <v>4.7500000000000001E-2</v>
          </cell>
          <cell r="J743">
            <v>2.1299999999999999E-2</v>
          </cell>
        </row>
        <row r="744">
          <cell r="B744" t="str">
            <v>MN-94</v>
          </cell>
          <cell r="C744" t="str">
            <v>ESP</v>
          </cell>
          <cell r="D744">
            <v>44404</v>
          </cell>
          <cell r="E744">
            <v>0.34097222222222223</v>
          </cell>
          <cell r="F744">
            <v>6.3E-3</v>
          </cell>
          <cell r="G744"/>
          <cell r="H744">
            <v>1.03E-2</v>
          </cell>
          <cell r="I744">
            <v>3.0700000000000002E-2</v>
          </cell>
          <cell r="J744">
            <v>2.2599999999999999E-2</v>
          </cell>
        </row>
        <row r="745">
          <cell r="B745" t="str">
            <v>MN-25</v>
          </cell>
          <cell r="C745" t="str">
            <v>ESP</v>
          </cell>
          <cell r="D745">
            <v>44404</v>
          </cell>
          <cell r="E745">
            <v>0.3263888888888889</v>
          </cell>
          <cell r="F745">
            <v>1.1299999999999999E-2</v>
          </cell>
          <cell r="G745"/>
          <cell r="H745">
            <v>3.8699999999999998E-2</v>
          </cell>
          <cell r="I745">
            <v>6.9000000000000006E-2</v>
          </cell>
          <cell r="J745">
            <v>2.5399999999999999E-2</v>
          </cell>
        </row>
        <row r="746">
          <cell r="B746" t="str">
            <v>LY-112</v>
          </cell>
          <cell r="C746" t="str">
            <v>ESP</v>
          </cell>
          <cell r="D746">
            <v>44404</v>
          </cell>
          <cell r="E746">
            <v>0.57500000000000007</v>
          </cell>
          <cell r="F746">
            <v>8.0000000000000002E-3</v>
          </cell>
          <cell r="H746">
            <v>2.3800000000000002E-2</v>
          </cell>
          <cell r="I746">
            <v>0.14630000000000001</v>
          </cell>
          <cell r="J746">
            <v>2.4799999999999999E-2</v>
          </cell>
        </row>
        <row r="747">
          <cell r="B747" t="str">
            <v>LY-121</v>
          </cell>
          <cell r="C747" t="str">
            <v>EPS</v>
          </cell>
          <cell r="D747">
            <v>44404</v>
          </cell>
          <cell r="E747">
            <v>0.58263888888888882</v>
          </cell>
          <cell r="F747">
            <v>0.01</v>
          </cell>
          <cell r="H747">
            <v>2.47E-2</v>
          </cell>
          <cell r="I747">
            <v>3.1800000000000002E-2</v>
          </cell>
          <cell r="J747">
            <v>1.6899999999999998E-2</v>
          </cell>
        </row>
        <row r="748">
          <cell r="B748" t="str">
            <v>LY-261A</v>
          </cell>
          <cell r="C748" t="str">
            <v>BM</v>
          </cell>
          <cell r="D748">
            <v>44405</v>
          </cell>
          <cell r="E748">
            <v>0.33333333333333331</v>
          </cell>
          <cell r="F748">
            <v>5.4000000000000003E-3</v>
          </cell>
          <cell r="H748">
            <v>7.1000000000000004E-3</v>
          </cell>
          <cell r="I748">
            <v>9.4000000000000004E-3</v>
          </cell>
          <cell r="J748">
            <v>7.1000000000000004E-3</v>
          </cell>
        </row>
        <row r="749">
          <cell r="B749" t="str">
            <v>LY-130</v>
          </cell>
          <cell r="C749" t="str">
            <v>EPS</v>
          </cell>
          <cell r="D749">
            <v>44405</v>
          </cell>
          <cell r="E749">
            <v>0.32500000000000001</v>
          </cell>
          <cell r="F749">
            <v>5.4999999999999997E-3</v>
          </cell>
          <cell r="H749">
            <v>6.3E-3</v>
          </cell>
          <cell r="I749">
            <v>1.21E-2</v>
          </cell>
          <cell r="J749">
            <v>2.7000000000000001E-3</v>
          </cell>
        </row>
        <row r="750">
          <cell r="B750" t="str">
            <v>MN-93</v>
          </cell>
          <cell r="C750" t="str">
            <v>ESP</v>
          </cell>
          <cell r="D750">
            <v>44405</v>
          </cell>
          <cell r="E750">
            <v>0.57777777777777783</v>
          </cell>
          <cell r="F750">
            <v>1.9300000000000001E-2</v>
          </cell>
          <cell r="G750"/>
          <cell r="H750">
            <v>1.5900000000000001E-2</v>
          </cell>
          <cell r="I750">
            <v>6.5799999999999997E-2</v>
          </cell>
          <cell r="J750">
            <v>6.7000000000000004E-2</v>
          </cell>
        </row>
        <row r="751">
          <cell r="B751" t="str">
            <v>LY-289</v>
          </cell>
          <cell r="C751" t="str">
            <v>EPS</v>
          </cell>
          <cell r="D751">
            <v>44405</v>
          </cell>
          <cell r="E751">
            <v>0.58333333333333337</v>
          </cell>
          <cell r="F751">
            <v>1.01E-2</v>
          </cell>
          <cell r="G751"/>
          <cell r="H751">
            <v>1.78E-2</v>
          </cell>
          <cell r="I751">
            <v>6.0999999999999999E-2</v>
          </cell>
          <cell r="J751">
            <v>2.98E-2</v>
          </cell>
        </row>
        <row r="752">
          <cell r="B752" t="str">
            <v>CV E-01</v>
          </cell>
          <cell r="C752" t="str">
            <v>MB</v>
          </cell>
          <cell r="D752">
            <v>44406</v>
          </cell>
          <cell r="E752">
            <v>0.3576388888888889</v>
          </cell>
          <cell r="F752">
            <v>4.5999999999999999E-2</v>
          </cell>
          <cell r="G752"/>
          <cell r="H752">
            <v>6.9599999999999995E-2</v>
          </cell>
          <cell r="I752">
            <v>0.23680000000000001</v>
          </cell>
          <cell r="J752">
            <v>0.21590000000000001</v>
          </cell>
        </row>
        <row r="753">
          <cell r="B753" t="str">
            <v>CL-20</v>
          </cell>
          <cell r="C753" t="str">
            <v>EPS</v>
          </cell>
          <cell r="D753">
            <v>44406</v>
          </cell>
          <cell r="E753">
            <v>0.375</v>
          </cell>
          <cell r="F753">
            <v>5.5999999999999999E-3</v>
          </cell>
          <cell r="G753"/>
          <cell r="H753">
            <v>6.6E-3</v>
          </cell>
          <cell r="I753">
            <v>3.8999999999999998E-3</v>
          </cell>
          <cell r="J753">
            <v>7.4000000000000003E-3</v>
          </cell>
        </row>
        <row r="754">
          <cell r="B754" t="str">
            <v>CV-E03</v>
          </cell>
          <cell r="C754" t="str">
            <v>ESP</v>
          </cell>
          <cell r="D754">
            <v>44406</v>
          </cell>
          <cell r="E754">
            <v>0.56597222222222221</v>
          </cell>
          <cell r="F754">
            <v>1.4E-2</v>
          </cell>
          <cell r="G754"/>
          <cell r="H754">
            <v>4.6800000000000001E-2</v>
          </cell>
          <cell r="I754">
            <v>0.13830000000000001</v>
          </cell>
          <cell r="J754">
            <v>6.2399999999999997E-2</v>
          </cell>
        </row>
        <row r="755">
          <cell r="B755" t="str">
            <v>LY-028</v>
          </cell>
          <cell r="C755" t="str">
            <v>EPS</v>
          </cell>
          <cell r="D755">
            <v>44406</v>
          </cell>
          <cell r="E755">
            <v>0.62152777777777779</v>
          </cell>
          <cell r="F755">
            <v>2.3300000000000001E-2</v>
          </cell>
          <cell r="G755"/>
          <cell r="H755">
            <v>3.09E-2</v>
          </cell>
          <cell r="I755">
            <v>4.1799999999999997E-2</v>
          </cell>
          <cell r="J755">
            <v>3.4599999999999999E-2</v>
          </cell>
        </row>
        <row r="756">
          <cell r="B756" t="str">
            <v>LY-276</v>
          </cell>
          <cell r="C756" t="str">
            <v>MB</v>
          </cell>
          <cell r="D756">
            <v>44407</v>
          </cell>
          <cell r="E756">
            <v>0.35416666666666669</v>
          </cell>
          <cell r="F756">
            <v>2.53E-2</v>
          </cell>
          <cell r="G756"/>
          <cell r="H756">
            <v>5.0500000000000003E-2</v>
          </cell>
          <cell r="I756">
            <v>5.6000000000000001E-2</v>
          </cell>
          <cell r="J756">
            <v>1.7000000000000001E-2</v>
          </cell>
        </row>
        <row r="757">
          <cell r="B757" t="str">
            <v>LY-242</v>
          </cell>
          <cell r="C757" t="str">
            <v>EPS</v>
          </cell>
          <cell r="D757">
            <v>44407</v>
          </cell>
          <cell r="E757">
            <v>0.36180555555555555</v>
          </cell>
          <cell r="F757">
            <v>5.5899999999999998E-2</v>
          </cell>
          <cell r="G757"/>
          <cell r="H757">
            <v>0.1187</v>
          </cell>
          <cell r="I757">
            <v>9.8599999999999993E-2</v>
          </cell>
          <cell r="J757">
            <v>2.87E-2</v>
          </cell>
        </row>
        <row r="758">
          <cell r="B758" t="str">
            <v>CY-91</v>
          </cell>
          <cell r="C758" t="str">
            <v>ESP</v>
          </cell>
          <cell r="D758">
            <v>44407</v>
          </cell>
          <cell r="E758">
            <v>0.58333333333333337</v>
          </cell>
          <cell r="F758">
            <v>7.7999999999999996E-3</v>
          </cell>
          <cell r="G758"/>
          <cell r="H758">
            <v>2.58E-2</v>
          </cell>
          <cell r="I758">
            <v>0.1069</v>
          </cell>
          <cell r="J758">
            <v>0.10299999999999999</v>
          </cell>
        </row>
        <row r="759">
          <cell r="B759" t="str">
            <v>LY-237</v>
          </cell>
          <cell r="C759" t="str">
            <v>EPS</v>
          </cell>
          <cell r="D759">
            <v>44407</v>
          </cell>
          <cell r="E759">
            <v>0.59027777777777779</v>
          </cell>
          <cell r="F759">
            <v>6.8999999999999999E-3</v>
          </cell>
          <cell r="G759"/>
          <cell r="H759">
            <v>2.3099999999999999E-2</v>
          </cell>
          <cell r="I759">
            <v>3.95E-2</v>
          </cell>
          <cell r="J759">
            <v>3.1699999999999999E-2</v>
          </cell>
        </row>
        <row r="760">
          <cell r="B760" t="str">
            <v>CY-16</v>
          </cell>
          <cell r="C760" t="str">
            <v>MB</v>
          </cell>
          <cell r="D760">
            <v>44410</v>
          </cell>
          <cell r="E760">
            <v>0.3125</v>
          </cell>
          <cell r="F760">
            <v>2.64E-2</v>
          </cell>
          <cell r="G760"/>
          <cell r="H760">
            <v>9.8599999999999993E-2</v>
          </cell>
          <cell r="I760">
            <v>1.0306</v>
          </cell>
          <cell r="J760">
            <v>0.23769999999999999</v>
          </cell>
        </row>
        <row r="761">
          <cell r="B761" t="str">
            <v>LY-283</v>
          </cell>
          <cell r="C761" t="str">
            <v>EPS</v>
          </cell>
          <cell r="D761">
            <v>44410</v>
          </cell>
          <cell r="E761">
            <v>0.3263888888888889</v>
          </cell>
          <cell r="F761">
            <v>1.2500000000000001E-2</v>
          </cell>
          <cell r="G761">
            <v>2.47E-2</v>
          </cell>
          <cell r="H761">
            <v>2.47E-2</v>
          </cell>
          <cell r="I761">
            <v>8.8200000000000001E-2</v>
          </cell>
          <cell r="J761">
            <v>0.12089999999999999</v>
          </cell>
        </row>
        <row r="762">
          <cell r="B762" t="str">
            <v>COG -04</v>
          </cell>
          <cell r="C762" t="str">
            <v>ESP</v>
          </cell>
          <cell r="D762">
            <v>44411</v>
          </cell>
          <cell r="E762">
            <v>0.39583333333333331</v>
          </cell>
          <cell r="F762">
            <v>1.23E-2</v>
          </cell>
          <cell r="G762"/>
          <cell r="H762">
            <v>2.3E-2</v>
          </cell>
          <cell r="I762">
            <v>5.8099999999999999E-2</v>
          </cell>
          <cell r="J762">
            <v>4.1799999999999997E-2</v>
          </cell>
        </row>
        <row r="763">
          <cell r="B763"/>
          <cell r="C763"/>
          <cell r="D763">
            <v>44412</v>
          </cell>
          <cell r="E763">
            <v>0.40138888888888885</v>
          </cell>
          <cell r="F763">
            <v>4.7000000000000002E-3</v>
          </cell>
          <cell r="G763"/>
          <cell r="H763">
            <v>9.4999999999999998E-3</v>
          </cell>
          <cell r="I763">
            <v>1.7500000000000002E-2</v>
          </cell>
          <cell r="J763">
            <v>1.41E-2</v>
          </cell>
        </row>
        <row r="764">
          <cell r="B764" t="str">
            <v>REX NE-04</v>
          </cell>
          <cell r="C764" t="str">
            <v>EPS</v>
          </cell>
          <cell r="D764">
            <v>44411</v>
          </cell>
          <cell r="E764">
            <v>0.42708333333333331</v>
          </cell>
          <cell r="F764">
            <v>3.04E-2</v>
          </cell>
          <cell r="G764">
            <v>2.47E-2</v>
          </cell>
          <cell r="H764">
            <v>7.2400000000000006E-2</v>
          </cell>
          <cell r="I764">
            <v>0.3805</v>
          </cell>
          <cell r="J764">
            <v>8.7999999999999995E-2</v>
          </cell>
        </row>
        <row r="765">
          <cell r="D765">
            <v>44412</v>
          </cell>
          <cell r="E765">
            <v>0.35416666666666669</v>
          </cell>
          <cell r="F765">
            <v>1.04E-2</v>
          </cell>
          <cell r="H765">
            <v>9.1000000000000004E-3</v>
          </cell>
          <cell r="I765">
            <v>2.07E-2</v>
          </cell>
          <cell r="J765">
            <v>2.35E-2</v>
          </cell>
        </row>
        <row r="766">
          <cell r="B766" t="str">
            <v>MN-79</v>
          </cell>
          <cell r="C766" t="str">
            <v>ESP</v>
          </cell>
          <cell r="D766">
            <v>44412</v>
          </cell>
          <cell r="E766">
            <v>0.54652777777777783</v>
          </cell>
          <cell r="F766">
            <v>1.1999999999999999E-3</v>
          </cell>
          <cell r="G766"/>
          <cell r="H766">
            <v>4.7999999999999996E-3</v>
          </cell>
          <cell r="I766">
            <v>6.3E-3</v>
          </cell>
          <cell r="J766">
            <v>7.4000000000000003E-3</v>
          </cell>
        </row>
        <row r="767">
          <cell r="B767" t="str">
            <v>LY-136</v>
          </cell>
          <cell r="C767" t="str">
            <v>EPS</v>
          </cell>
          <cell r="D767">
            <v>44412</v>
          </cell>
          <cell r="E767">
            <v>0.53472222222222221</v>
          </cell>
          <cell r="F767">
            <v>1.0500000000000001E-2</v>
          </cell>
          <cell r="G767">
            <v>2.47E-2</v>
          </cell>
          <cell r="H767">
            <v>8.6999999999999994E-3</v>
          </cell>
          <cell r="I767">
            <v>9.2999999999999992E-3</v>
          </cell>
          <cell r="J767">
            <v>1.23E-2</v>
          </cell>
        </row>
        <row r="768">
          <cell r="B768" t="str">
            <v>CL-33</v>
          </cell>
          <cell r="C768" t="str">
            <v>BM</v>
          </cell>
          <cell r="D768">
            <v>44413</v>
          </cell>
          <cell r="E768">
            <v>0.34027777777777773</v>
          </cell>
          <cell r="F768">
            <v>3.0000000000000001E-3</v>
          </cell>
          <cell r="G768"/>
          <cell r="H768">
            <v>4.1999999999999997E-3</v>
          </cell>
          <cell r="I768">
            <v>5.7999999999999996E-3</v>
          </cell>
          <cell r="J768">
            <v>8.8999999999999999E-3</v>
          </cell>
        </row>
        <row r="769">
          <cell r="B769" t="str">
            <v>CL-02</v>
          </cell>
          <cell r="C769" t="str">
            <v>EPS</v>
          </cell>
          <cell r="D769">
            <v>44413</v>
          </cell>
          <cell r="E769">
            <v>0.36805555555555558</v>
          </cell>
          <cell r="F769">
            <v>3.2500000000000001E-2</v>
          </cell>
          <cell r="G769">
            <v>2.47E-2</v>
          </cell>
          <cell r="H769">
            <v>8.0999999999999996E-3</v>
          </cell>
          <cell r="I769">
            <v>5.1000000000000004E-3</v>
          </cell>
          <cell r="J769">
            <v>6.1000000000000004E-3</v>
          </cell>
        </row>
        <row r="770">
          <cell r="B770" t="str">
            <v>CV-02</v>
          </cell>
          <cell r="C770" t="str">
            <v>ESP</v>
          </cell>
          <cell r="D770">
            <v>44413</v>
          </cell>
          <cell r="E770">
            <v>0.57916666666666672</v>
          </cell>
          <cell r="F770">
            <v>4.1599999999999998E-2</v>
          </cell>
          <cell r="G770"/>
          <cell r="H770">
            <v>6.2799999999999995E-2</v>
          </cell>
          <cell r="I770">
            <v>9.3799999999999994E-2</v>
          </cell>
          <cell r="J770">
            <v>1.06E-2</v>
          </cell>
        </row>
        <row r="771">
          <cell r="B771" t="str">
            <v>CV-19</v>
          </cell>
          <cell r="C771" t="str">
            <v>EPS</v>
          </cell>
          <cell r="D771">
            <v>44413</v>
          </cell>
          <cell r="E771">
            <v>0.57152777777777775</v>
          </cell>
          <cell r="F771">
            <v>3.7600000000000001E-2</v>
          </cell>
          <cell r="G771">
            <v>2.47E-2</v>
          </cell>
          <cell r="H771">
            <v>4.1000000000000002E-2</v>
          </cell>
          <cell r="I771">
            <v>4.53E-2</v>
          </cell>
          <cell r="J771">
            <v>1.06E-2</v>
          </cell>
        </row>
        <row r="772">
          <cell r="B772" t="str">
            <v>CV-11</v>
          </cell>
          <cell r="C772" t="str">
            <v>ESP</v>
          </cell>
          <cell r="D772">
            <v>44414</v>
          </cell>
          <cell r="E772">
            <v>0.31597222222222221</v>
          </cell>
          <cell r="F772">
            <v>4.4000000000000003E-3</v>
          </cell>
          <cell r="G772"/>
          <cell r="H772">
            <v>5.8999999999999999E-3</v>
          </cell>
          <cell r="I772">
            <v>5.4000000000000003E-3</v>
          </cell>
          <cell r="J772">
            <v>5.5999999999999999E-3</v>
          </cell>
        </row>
        <row r="773">
          <cell r="B773" t="str">
            <v>ARG-01</v>
          </cell>
          <cell r="C773" t="str">
            <v>EPS</v>
          </cell>
          <cell r="D773">
            <v>44414</v>
          </cell>
          <cell r="E773">
            <v>0.32361111111111113</v>
          </cell>
          <cell r="F773">
            <v>5.7000000000000002E-3</v>
          </cell>
          <cell r="G773">
            <v>2.47E-2</v>
          </cell>
          <cell r="H773">
            <v>5.7000000000000002E-3</v>
          </cell>
          <cell r="I773">
            <v>1.09E-2</v>
          </cell>
          <cell r="J773">
            <v>2.12E-2</v>
          </cell>
        </row>
        <row r="774">
          <cell r="B774" t="str">
            <v>RD-11</v>
          </cell>
          <cell r="C774" t="str">
            <v>ESP</v>
          </cell>
          <cell r="D774">
            <v>44414</v>
          </cell>
          <cell r="E774">
            <v>0.60416666666666663</v>
          </cell>
          <cell r="F774">
            <v>5.0599999999999999E-2</v>
          </cell>
          <cell r="G774"/>
          <cell r="H774">
            <v>0.1157</v>
          </cell>
          <cell r="I774">
            <v>0.34389999999999998</v>
          </cell>
          <cell r="J774">
            <v>0.122</v>
          </cell>
        </row>
        <row r="775">
          <cell r="B775" t="str">
            <v>RD-08</v>
          </cell>
          <cell r="C775" t="str">
            <v>EPS</v>
          </cell>
          <cell r="D775">
            <v>44414</v>
          </cell>
          <cell r="E775">
            <v>0.59722222222222221</v>
          </cell>
          <cell r="F775">
            <v>1.26E-2</v>
          </cell>
          <cell r="G775">
            <v>2.47E-2</v>
          </cell>
          <cell r="H775">
            <v>2.5600000000000001E-2</v>
          </cell>
          <cell r="I775">
            <v>2.5899999999999999E-2</v>
          </cell>
          <cell r="J775">
            <v>1.06E-2</v>
          </cell>
        </row>
        <row r="776">
          <cell r="B776" t="str">
            <v>LY-067</v>
          </cell>
          <cell r="C776" t="str">
            <v>ESP</v>
          </cell>
          <cell r="D776">
            <v>44421</v>
          </cell>
          <cell r="E776">
            <v>0.3298611111111111</v>
          </cell>
          <cell r="F776">
            <v>1.3599999999999999E-2</v>
          </cell>
          <cell r="G776"/>
          <cell r="H776">
            <v>2.0799999999999999E-2</v>
          </cell>
          <cell r="I776">
            <v>0.64729999999999999</v>
          </cell>
          <cell r="J776">
            <v>7.6899999999999996E-2</v>
          </cell>
        </row>
        <row r="777">
          <cell r="B777" t="str">
            <v>CY-005</v>
          </cell>
          <cell r="C777" t="str">
            <v>EPS</v>
          </cell>
          <cell r="D777">
            <v>44421</v>
          </cell>
          <cell r="E777">
            <v>0.31597222222222221</v>
          </cell>
          <cell r="F777">
            <v>5.1999999999999998E-3</v>
          </cell>
          <cell r="G777">
            <v>2.47E-2</v>
          </cell>
          <cell r="H777">
            <v>9.1999999999999998E-3</v>
          </cell>
          <cell r="I777">
            <v>2.07E-2</v>
          </cell>
          <cell r="J777">
            <v>2.1299999999999999E-2</v>
          </cell>
        </row>
        <row r="778">
          <cell r="B778" t="str">
            <v>MN-15</v>
          </cell>
          <cell r="C778" t="str">
            <v>ESP</v>
          </cell>
          <cell r="D778">
            <v>44421</v>
          </cell>
          <cell r="E778">
            <v>0.5541666666666667</v>
          </cell>
          <cell r="F778">
            <v>2.0999999999999999E-3</v>
          </cell>
          <cell r="G778"/>
          <cell r="H778">
            <v>5.7999999999999996E-3</v>
          </cell>
          <cell r="I778">
            <v>5.7000000000000002E-3</v>
          </cell>
          <cell r="J778">
            <v>1.32E-2</v>
          </cell>
        </row>
        <row r="779">
          <cell r="B779" t="str">
            <v>LY-188</v>
          </cell>
          <cell r="C779" t="str">
            <v>EPS</v>
          </cell>
          <cell r="D779">
            <v>44421</v>
          </cell>
          <cell r="E779">
            <v>0.56944444444444442</v>
          </cell>
          <cell r="F779">
            <v>1.1999999999999999E-3</v>
          </cell>
          <cell r="G779">
            <v>2.47E-2</v>
          </cell>
          <cell r="H779">
            <v>7.1999999999999998E-3</v>
          </cell>
          <cell r="I779">
            <v>1.8700000000000001E-2</v>
          </cell>
          <cell r="J779">
            <v>0.01</v>
          </cell>
        </row>
        <row r="780">
          <cell r="B780" t="str">
            <v>CH-04</v>
          </cell>
          <cell r="C780" t="str">
            <v>ESP</v>
          </cell>
          <cell r="D780">
            <v>44425</v>
          </cell>
          <cell r="E780">
            <v>0.42222222222222222</v>
          </cell>
          <cell r="F780">
            <v>5.7200000000000001E-2</v>
          </cell>
          <cell r="G780"/>
          <cell r="H780">
            <v>0.2175</v>
          </cell>
          <cell r="I780">
            <v>0.81210000000000004</v>
          </cell>
          <cell r="J780">
            <v>0.31259999999999999</v>
          </cell>
        </row>
        <row r="781">
          <cell r="B781" t="str">
            <v>CL-55</v>
          </cell>
          <cell r="C781" t="str">
            <v>EPS</v>
          </cell>
          <cell r="D781">
            <v>44425</v>
          </cell>
          <cell r="E781">
            <v>0.32083333333333336</v>
          </cell>
          <cell r="F781">
            <v>2.9600000000000001E-2</v>
          </cell>
          <cell r="G781">
            <v>2.47E-2</v>
          </cell>
          <cell r="H781">
            <v>3.6600000000000001E-2</v>
          </cell>
          <cell r="I781">
            <v>6.4999999999999997E-3</v>
          </cell>
          <cell r="J781">
            <v>4.65E-2</v>
          </cell>
        </row>
        <row r="782">
          <cell r="B782" t="str">
            <v>RD-11</v>
          </cell>
          <cell r="C782" t="str">
            <v>ESP</v>
          </cell>
          <cell r="D782">
            <v>44425</v>
          </cell>
          <cell r="E782">
            <v>0.65277777777777779</v>
          </cell>
          <cell r="F782">
            <v>2.53E-2</v>
          </cell>
          <cell r="G782"/>
          <cell r="H782">
            <v>6.7799999999999999E-2</v>
          </cell>
          <cell r="I782">
            <v>9.0399999999999994E-2</v>
          </cell>
          <cell r="J782">
            <v>3.7499999999999999E-2</v>
          </cell>
        </row>
        <row r="783">
          <cell r="B783" t="str">
            <v>LY-159</v>
          </cell>
          <cell r="C783" t="str">
            <v>ESP</v>
          </cell>
          <cell r="D783">
            <v>44425</v>
          </cell>
          <cell r="E783">
            <v>0.56944444444444442</v>
          </cell>
          <cell r="F783">
            <v>4.5999999999999999E-3</v>
          </cell>
          <cell r="G783"/>
          <cell r="H783">
            <v>1.32E-2</v>
          </cell>
          <cell r="I783">
            <v>6.5600000000000006E-2</v>
          </cell>
          <cell r="J783">
            <v>0.16070000000000001</v>
          </cell>
        </row>
        <row r="784">
          <cell r="B784" t="str">
            <v>LY-212</v>
          </cell>
          <cell r="C784" t="str">
            <v>ESP</v>
          </cell>
          <cell r="D784">
            <v>44426</v>
          </cell>
          <cell r="E784">
            <v>0.3666666666666667</v>
          </cell>
          <cell r="F784">
            <v>2.5999999999999999E-3</v>
          </cell>
          <cell r="G784"/>
          <cell r="H784">
            <v>4.7000000000000002E-3</v>
          </cell>
          <cell r="I784">
            <v>2.3199999999999998E-2</v>
          </cell>
          <cell r="J784">
            <v>1.9400000000000001E-2</v>
          </cell>
        </row>
        <row r="785">
          <cell r="B785" t="str">
            <v>LY-267</v>
          </cell>
          <cell r="C785" t="str">
            <v>ESP</v>
          </cell>
          <cell r="D785">
            <v>44426</v>
          </cell>
          <cell r="E785">
            <v>0.3611111111111111</v>
          </cell>
          <cell r="F785">
            <v>8.2000000000000007E-3</v>
          </cell>
          <cell r="G785"/>
          <cell r="H785">
            <v>2.3199999999999998E-2</v>
          </cell>
          <cell r="I785">
            <v>0.11119999999999999</v>
          </cell>
          <cell r="J785">
            <v>2.29E-2</v>
          </cell>
        </row>
        <row r="786">
          <cell r="B786" t="str">
            <v>LY-115</v>
          </cell>
          <cell r="C786" t="str">
            <v>ESP</v>
          </cell>
          <cell r="D786">
            <v>44426</v>
          </cell>
          <cell r="E786">
            <v>0.5708333333333333</v>
          </cell>
          <cell r="F786">
            <v>2.5000000000000001E-3</v>
          </cell>
          <cell r="H786">
            <v>4.4999999999999997E-3</v>
          </cell>
          <cell r="I786">
            <v>1.2699999999999999E-2</v>
          </cell>
          <cell r="J786">
            <v>8.0000000000000002E-3</v>
          </cell>
        </row>
        <row r="787">
          <cell r="B787" t="str">
            <v>LY-189</v>
          </cell>
          <cell r="C787" t="str">
            <v>ESP</v>
          </cell>
          <cell r="D787">
            <v>44426</v>
          </cell>
          <cell r="E787">
            <v>0.57986111111111105</v>
          </cell>
          <cell r="F787">
            <v>2.5999999999999999E-3</v>
          </cell>
          <cell r="H787">
            <v>3.5000000000000001E-3</v>
          </cell>
          <cell r="I787">
            <v>3.5999999999999999E-3</v>
          </cell>
          <cell r="J787">
            <v>4.4000000000000003E-3</v>
          </cell>
        </row>
        <row r="788">
          <cell r="B788" t="str">
            <v>LY-101</v>
          </cell>
          <cell r="C788" t="str">
            <v>ESP</v>
          </cell>
          <cell r="D788">
            <v>44427</v>
          </cell>
          <cell r="E788">
            <v>0.31597222222222221</v>
          </cell>
          <cell r="F788">
            <v>1.6299999999999999E-2</v>
          </cell>
          <cell r="G788"/>
          <cell r="H788">
            <v>7.0000000000000001E-3</v>
          </cell>
          <cell r="I788">
            <v>7.4999999999999997E-3</v>
          </cell>
          <cell r="J788">
            <v>3.5999999999999999E-3</v>
          </cell>
        </row>
        <row r="789">
          <cell r="B789" t="str">
            <v>LY-246</v>
          </cell>
          <cell r="C789" t="str">
            <v>ESP</v>
          </cell>
          <cell r="D789">
            <v>44427</v>
          </cell>
          <cell r="E789">
            <v>0.3263888888888889</v>
          </cell>
          <cell r="F789">
            <v>5.1999999999999998E-3</v>
          </cell>
          <cell r="G789"/>
          <cell r="H789">
            <v>1.01E-2</v>
          </cell>
          <cell r="I789">
            <v>9.4000000000000004E-3</v>
          </cell>
          <cell r="J789">
            <v>4.4000000000000003E-3</v>
          </cell>
        </row>
        <row r="790">
          <cell r="B790" t="str">
            <v>LY-177</v>
          </cell>
          <cell r="C790" t="str">
            <v>ESP</v>
          </cell>
          <cell r="D790">
            <v>44427</v>
          </cell>
          <cell r="E790">
            <v>0.58333333333333337</v>
          </cell>
          <cell r="F790">
            <v>2.75E-2</v>
          </cell>
          <cell r="H790">
            <v>5.8000000000000003E-2</v>
          </cell>
          <cell r="I790">
            <v>0.1024</v>
          </cell>
          <cell r="J790">
            <v>3.9E-2</v>
          </cell>
        </row>
        <row r="791">
          <cell r="B791" t="str">
            <v>MCA-01</v>
          </cell>
          <cell r="C791" t="str">
            <v>ESP</v>
          </cell>
          <cell r="D791">
            <v>44427</v>
          </cell>
          <cell r="E791">
            <v>0.5625</v>
          </cell>
          <cell r="F791">
            <v>1.34E-2</v>
          </cell>
          <cell r="H791">
            <v>2.3099999999999999E-2</v>
          </cell>
          <cell r="I791">
            <v>9.8799999999999999E-2</v>
          </cell>
          <cell r="J791">
            <v>5.2600000000000001E-2</v>
          </cell>
        </row>
        <row r="792">
          <cell r="B792" t="str">
            <v>CL-34</v>
          </cell>
          <cell r="C792" t="str">
            <v>ESP</v>
          </cell>
          <cell r="D792">
            <v>44428</v>
          </cell>
          <cell r="E792">
            <v>0.34722222222222227</v>
          </cell>
          <cell r="F792">
            <v>2.3800000000000002E-2</v>
          </cell>
          <cell r="H792">
            <v>2.41E-2</v>
          </cell>
          <cell r="I792">
            <v>1.3899999999999999E-2</v>
          </cell>
          <cell r="J792">
            <v>6.4000000000000003E-3</v>
          </cell>
        </row>
        <row r="793">
          <cell r="B793" t="str">
            <v>GLO-01</v>
          </cell>
          <cell r="C793" t="str">
            <v>ESP</v>
          </cell>
          <cell r="D793">
            <v>44428</v>
          </cell>
          <cell r="E793">
            <v>0.34027777777777773</v>
          </cell>
          <cell r="F793">
            <v>4.4000000000000003E-3</v>
          </cell>
          <cell r="H793">
            <v>1.29E-2</v>
          </cell>
          <cell r="I793">
            <v>3.9100000000000003E-2</v>
          </cell>
          <cell r="J793">
            <v>2.5999999999999999E-2</v>
          </cell>
        </row>
        <row r="794">
          <cell r="B794" t="str">
            <v>CL-006</v>
          </cell>
          <cell r="C794" t="str">
            <v>ESP</v>
          </cell>
          <cell r="D794">
            <v>44428</v>
          </cell>
          <cell r="E794">
            <v>0.55902777777777779</v>
          </cell>
          <cell r="F794">
            <v>1.29E-2</v>
          </cell>
          <cell r="H794">
            <v>1.32E-2</v>
          </cell>
          <cell r="I794">
            <v>1.61E-2</v>
          </cell>
          <cell r="J794">
            <v>1.0200000000000001E-2</v>
          </cell>
        </row>
        <row r="795">
          <cell r="B795" t="str">
            <v>LY-027</v>
          </cell>
          <cell r="C795" t="str">
            <v>ESP</v>
          </cell>
          <cell r="D795">
            <v>44428</v>
          </cell>
          <cell r="E795">
            <v>0.57291666666666663</v>
          </cell>
          <cell r="F795">
            <v>1.12E-2</v>
          </cell>
          <cell r="H795">
            <v>8.6999999999999994E-3</v>
          </cell>
          <cell r="I795">
            <v>3.0800000000000001E-2</v>
          </cell>
          <cell r="J795">
            <v>1.14E-2</v>
          </cell>
        </row>
        <row r="796">
          <cell r="B796" t="str">
            <v>LY-070</v>
          </cell>
          <cell r="C796" t="str">
            <v>ESP</v>
          </cell>
          <cell r="D796">
            <v>44431</v>
          </cell>
          <cell r="E796">
            <v>0.30208333333333331</v>
          </cell>
          <cell r="F796">
            <v>2.8999999999999998E-3</v>
          </cell>
          <cell r="G796"/>
          <cell r="H796">
            <v>6.8999999999999999E-3</v>
          </cell>
          <cell r="I796">
            <v>2.3199999999999998E-2</v>
          </cell>
          <cell r="J796">
            <v>4.02E-2</v>
          </cell>
        </row>
        <row r="797">
          <cell r="B797" t="str">
            <v>LY-282</v>
          </cell>
          <cell r="C797" t="str">
            <v>ESP</v>
          </cell>
          <cell r="D797">
            <v>44431</v>
          </cell>
          <cell r="E797">
            <v>0.32291666666666669</v>
          </cell>
          <cell r="F797">
            <v>1.0800000000000001E-2</v>
          </cell>
          <cell r="G797"/>
          <cell r="H797">
            <v>8.5400000000000004E-2</v>
          </cell>
          <cell r="I797">
            <v>4.7699999999999999E-2</v>
          </cell>
          <cell r="J797">
            <v>5.3E-3</v>
          </cell>
        </row>
        <row r="798">
          <cell r="B798" t="str">
            <v>LY-151</v>
          </cell>
          <cell r="C798" t="str">
            <v>ESP</v>
          </cell>
          <cell r="D798">
            <v>44431</v>
          </cell>
          <cell r="E798">
            <v>0.58333333333333337</v>
          </cell>
          <cell r="F798">
            <v>1.8E-3</v>
          </cell>
          <cell r="G798"/>
          <cell r="H798">
            <v>3.8E-3</v>
          </cell>
          <cell r="I798">
            <v>3.8999999999999998E-3</v>
          </cell>
          <cell r="J798">
            <v>2.8E-3</v>
          </cell>
        </row>
        <row r="799">
          <cell r="B799" t="str">
            <v>CY-57</v>
          </cell>
          <cell r="C799" t="str">
            <v>ESP</v>
          </cell>
          <cell r="D799">
            <v>44431</v>
          </cell>
          <cell r="E799">
            <v>0.56944444444444442</v>
          </cell>
          <cell r="F799">
            <v>1.01E-2</v>
          </cell>
          <cell r="G799"/>
          <cell r="H799">
            <v>7.7999999999999996E-3</v>
          </cell>
          <cell r="I799">
            <v>1.3100000000000001E-2</v>
          </cell>
          <cell r="J799">
            <v>1.2699999999999999E-2</v>
          </cell>
        </row>
        <row r="800">
          <cell r="B800" t="str">
            <v>LY-291</v>
          </cell>
          <cell r="C800" t="str">
            <v>ESP</v>
          </cell>
          <cell r="D800">
            <v>44432</v>
          </cell>
          <cell r="E800">
            <v>0.3263888888888889</v>
          </cell>
          <cell r="F800">
            <v>3.5499999999999997E-2</v>
          </cell>
          <cell r="G800"/>
          <cell r="H800">
            <v>7.6100000000000001E-2</v>
          </cell>
          <cell r="I800">
            <v>5.9400000000000001E-2</v>
          </cell>
          <cell r="J800">
            <v>2.2100000000000002E-2</v>
          </cell>
        </row>
        <row r="801">
          <cell r="B801" t="str">
            <v>LY-237</v>
          </cell>
          <cell r="C801" t="str">
            <v>ESP</v>
          </cell>
          <cell r="D801">
            <v>44432</v>
          </cell>
          <cell r="E801">
            <v>0.3125</v>
          </cell>
          <cell r="F801">
            <v>1.6299999999999999E-2</v>
          </cell>
          <cell r="G801"/>
          <cell r="H801">
            <v>4.7E-2</v>
          </cell>
          <cell r="I801">
            <v>8.3299999999999999E-2</v>
          </cell>
          <cell r="J801">
            <v>6.6E-3</v>
          </cell>
        </row>
        <row r="802">
          <cell r="B802" t="str">
            <v>CR-23</v>
          </cell>
          <cell r="C802" t="str">
            <v>ESP</v>
          </cell>
          <cell r="D802">
            <v>44433</v>
          </cell>
          <cell r="E802">
            <v>0.31597222222222221</v>
          </cell>
          <cell r="F802">
            <v>3.8E-3</v>
          </cell>
          <cell r="G802"/>
          <cell r="H802">
            <v>2.4199999999999999E-2</v>
          </cell>
          <cell r="I802">
            <v>2.24E-2</v>
          </cell>
          <cell r="J802">
            <v>6.7000000000000002E-3</v>
          </cell>
        </row>
        <row r="803">
          <cell r="B803" t="str">
            <v>CAL-001</v>
          </cell>
          <cell r="C803" t="str">
            <v>ESP</v>
          </cell>
          <cell r="D803">
            <v>44433</v>
          </cell>
          <cell r="E803">
            <v>0.33333333333333331</v>
          </cell>
          <cell r="F803">
            <v>3.5000000000000001E-3</v>
          </cell>
          <cell r="G803"/>
          <cell r="H803">
            <v>1.8100000000000002E-2</v>
          </cell>
          <cell r="I803">
            <v>1.52E-2</v>
          </cell>
          <cell r="J803">
            <v>6.7999999999999996E-3</v>
          </cell>
        </row>
        <row r="804">
          <cell r="B804" t="str">
            <v>CO-Y-004</v>
          </cell>
          <cell r="C804" t="str">
            <v>ESP</v>
          </cell>
          <cell r="D804">
            <v>44433</v>
          </cell>
          <cell r="E804">
            <v>0.60555555555555551</v>
          </cell>
          <cell r="F804">
            <v>2.8500000000000001E-2</v>
          </cell>
          <cell r="G804"/>
          <cell r="H804">
            <v>0.26329999999999998</v>
          </cell>
          <cell r="I804">
            <v>0.1236</v>
          </cell>
          <cell r="J804">
            <v>1.38E-2</v>
          </cell>
        </row>
        <row r="805">
          <cell r="B805" t="str">
            <v>CO-Y-005</v>
          </cell>
          <cell r="C805" t="str">
            <v>ESP</v>
          </cell>
          <cell r="D805">
            <v>44433</v>
          </cell>
          <cell r="E805">
            <v>0.60347222222222219</v>
          </cell>
          <cell r="F805">
            <v>1.9400000000000001E-2</v>
          </cell>
          <cell r="G805"/>
          <cell r="H805">
            <v>4.3200000000000002E-2</v>
          </cell>
          <cell r="I805">
            <v>4.2299999999999997E-2</v>
          </cell>
          <cell r="J805">
            <v>1.9199999999999998E-2</v>
          </cell>
        </row>
        <row r="806">
          <cell r="B806" t="str">
            <v>LY-122</v>
          </cell>
          <cell r="C806" t="str">
            <v>BM</v>
          </cell>
          <cell r="D806">
            <v>44434</v>
          </cell>
          <cell r="E806">
            <v>0.47222222222222227</v>
          </cell>
          <cell r="F806">
            <v>1.4E-2</v>
          </cell>
          <cell r="G806"/>
          <cell r="H806">
            <v>4.1000000000000003E-3</v>
          </cell>
          <cell r="I806">
            <v>3.3E-3</v>
          </cell>
          <cell r="J806">
            <v>2.2000000000000001E-3</v>
          </cell>
        </row>
        <row r="807">
          <cell r="B807" t="str">
            <v>LY-047</v>
          </cell>
          <cell r="C807" t="str">
            <v>BM</v>
          </cell>
          <cell r="D807">
            <v>44434</v>
          </cell>
          <cell r="E807">
            <v>0.4826388888888889</v>
          </cell>
          <cell r="F807">
            <v>4.4000000000000003E-3</v>
          </cell>
          <cell r="G807"/>
          <cell r="H807">
            <v>4.5999999999999999E-3</v>
          </cell>
          <cell r="I807">
            <v>3.9600000000000003E-2</v>
          </cell>
          <cell r="J807">
            <v>0.1472</v>
          </cell>
        </row>
        <row r="808">
          <cell r="B808" t="str">
            <v>LY-253</v>
          </cell>
          <cell r="C808" t="str">
            <v>ESP</v>
          </cell>
          <cell r="D808">
            <v>44435</v>
          </cell>
          <cell r="E808">
            <v>0.32083333333333336</v>
          </cell>
          <cell r="F808">
            <v>3.5000000000000001E-3</v>
          </cell>
          <cell r="G808"/>
          <cell r="H808">
            <v>1.5E-3</v>
          </cell>
          <cell r="I808">
            <v>1.6000000000000001E-3</v>
          </cell>
          <cell r="J808">
            <v>4.3E-3</v>
          </cell>
        </row>
        <row r="809">
          <cell r="B809" t="str">
            <v>LY-132</v>
          </cell>
          <cell r="C809" t="str">
            <v>ESP</v>
          </cell>
          <cell r="D809">
            <v>44435</v>
          </cell>
          <cell r="E809">
            <v>0.3263888888888889</v>
          </cell>
          <cell r="F809">
            <v>2.8999999999999998E-3</v>
          </cell>
          <cell r="G809"/>
          <cell r="H809">
            <v>8.9999999999999993E-3</v>
          </cell>
          <cell r="I809">
            <v>3.2000000000000001E-2</v>
          </cell>
          <cell r="J809">
            <v>5.9299999999999999E-2</v>
          </cell>
        </row>
        <row r="810">
          <cell r="B810" t="str">
            <v>LY-007</v>
          </cell>
          <cell r="C810" t="str">
            <v>ESP</v>
          </cell>
          <cell r="D810">
            <v>44435</v>
          </cell>
          <cell r="E810">
            <v>0.5625</v>
          </cell>
          <cell r="F810">
            <v>7.6E-3</v>
          </cell>
          <cell r="G810"/>
          <cell r="H810">
            <v>1.9400000000000001E-2</v>
          </cell>
          <cell r="I810">
            <v>1.41E-2</v>
          </cell>
          <cell r="J810">
            <v>5.4000000000000003E-3</v>
          </cell>
        </row>
        <row r="811">
          <cell r="B811" t="str">
            <v>LY-108</v>
          </cell>
          <cell r="C811" t="str">
            <v>ESP</v>
          </cell>
          <cell r="D811">
            <v>44435</v>
          </cell>
          <cell r="E811">
            <v>0.57638888888888895</v>
          </cell>
          <cell r="F811">
            <v>4.5999999999999999E-3</v>
          </cell>
          <cell r="G811"/>
          <cell r="H811">
            <v>5.5999999999999999E-3</v>
          </cell>
          <cell r="I811">
            <v>1.8100000000000002E-2</v>
          </cell>
          <cell r="J811">
            <v>1.4999999999999999E-2</v>
          </cell>
        </row>
        <row r="812">
          <cell r="B812" t="str">
            <v>LY-090</v>
          </cell>
          <cell r="C812" t="str">
            <v>ESP</v>
          </cell>
          <cell r="D812">
            <v>44442</v>
          </cell>
          <cell r="E812">
            <v>0.34583333333333338</v>
          </cell>
          <cell r="F812">
            <v>2.3999999999999998E-3</v>
          </cell>
          <cell r="G812"/>
          <cell r="H812">
            <v>4.0000000000000001E-3</v>
          </cell>
          <cell r="I812">
            <v>9.4000000000000004E-3</v>
          </cell>
          <cell r="J812">
            <v>9.4999999999999998E-3</v>
          </cell>
        </row>
        <row r="813">
          <cell r="B813" t="str">
            <v>LY-020</v>
          </cell>
          <cell r="C813" t="str">
            <v>ESP</v>
          </cell>
          <cell r="D813">
            <v>44442</v>
          </cell>
          <cell r="E813">
            <v>0.35069444444444442</v>
          </cell>
          <cell r="F813">
            <v>5.0000000000000001E-4</v>
          </cell>
          <cell r="G813"/>
          <cell r="H813">
            <v>5.3E-3</v>
          </cell>
          <cell r="I813">
            <v>1.7600000000000001E-2</v>
          </cell>
          <cell r="J813">
            <v>9.4999999999999998E-3</v>
          </cell>
        </row>
        <row r="814">
          <cell r="B814" t="str">
            <v>LY-109</v>
          </cell>
          <cell r="C814" t="str">
            <v>ESP</v>
          </cell>
          <cell r="D814">
            <v>44442</v>
          </cell>
          <cell r="E814">
            <v>0.56388888888888888</v>
          </cell>
          <cell r="F814">
            <v>1.5E-3</v>
          </cell>
          <cell r="G814"/>
          <cell r="H814">
            <v>5.8999999999999999E-3</v>
          </cell>
          <cell r="I814">
            <v>4.3E-3</v>
          </cell>
          <cell r="J814">
            <v>9.4999999999999998E-3</v>
          </cell>
        </row>
        <row r="815">
          <cell r="B815" t="str">
            <v>LY-161</v>
          </cell>
          <cell r="C815" t="str">
            <v>ESP</v>
          </cell>
          <cell r="D815">
            <v>44442</v>
          </cell>
          <cell r="E815">
            <v>0.56944444444444442</v>
          </cell>
          <cell r="F815">
            <v>3.0999999999999999E-3</v>
          </cell>
          <cell r="G815"/>
          <cell r="H815">
            <v>3.5999999999999999E-3</v>
          </cell>
          <cell r="I815">
            <v>7.4000000000000003E-3</v>
          </cell>
          <cell r="J815">
            <v>7.4000000000000003E-3</v>
          </cell>
        </row>
        <row r="816">
          <cell r="B816" t="str">
            <v>LY-125</v>
          </cell>
          <cell r="C816" t="str">
            <v>ESP</v>
          </cell>
          <cell r="D816">
            <v>44445</v>
          </cell>
          <cell r="E816">
            <v>0.3125</v>
          </cell>
          <cell r="F816">
            <v>8.3000000000000001E-3</v>
          </cell>
          <cell r="G816"/>
          <cell r="H816">
            <v>2.3E-3</v>
          </cell>
          <cell r="I816">
            <v>9.2999999999999992E-3</v>
          </cell>
          <cell r="J816">
            <v>7.1000000000000004E-3</v>
          </cell>
        </row>
        <row r="817">
          <cell r="B817" t="str">
            <v>LY-216</v>
          </cell>
          <cell r="C817" t="str">
            <v>ESP</v>
          </cell>
          <cell r="D817">
            <v>44445</v>
          </cell>
          <cell r="E817">
            <v>0.31666666666666665</v>
          </cell>
          <cell r="F817">
            <v>1.5E-3</v>
          </cell>
          <cell r="G817"/>
          <cell r="H817">
            <v>3.0000000000000001E-3</v>
          </cell>
          <cell r="I817">
            <v>0.01</v>
          </cell>
          <cell r="J817">
            <v>1.7500000000000002E-2</v>
          </cell>
        </row>
        <row r="818">
          <cell r="B818" t="str">
            <v>LY-286ST</v>
          </cell>
          <cell r="C818" t="str">
            <v>ESP</v>
          </cell>
          <cell r="D818">
            <v>44445</v>
          </cell>
          <cell r="E818">
            <v>0.56180555555555556</v>
          </cell>
          <cell r="F818">
            <v>2.2000000000000001E-3</v>
          </cell>
          <cell r="G818"/>
          <cell r="H818">
            <v>7.7999999999999996E-3</v>
          </cell>
          <cell r="I818">
            <v>2.8299999999999999E-2</v>
          </cell>
          <cell r="J818">
            <v>2.5600000000000001E-2</v>
          </cell>
        </row>
        <row r="819">
          <cell r="B819" t="str">
            <v>LY-141</v>
          </cell>
          <cell r="C819" t="str">
            <v>ESP</v>
          </cell>
          <cell r="D819">
            <v>44445</v>
          </cell>
          <cell r="E819">
            <v>0.56666666666666665</v>
          </cell>
          <cell r="F819">
            <v>3.0000000000000001E-3</v>
          </cell>
          <cell r="G819"/>
          <cell r="H819">
            <v>9.1999999999999998E-3</v>
          </cell>
          <cell r="I819">
            <v>1.44E-2</v>
          </cell>
          <cell r="J819">
            <v>7.7000000000000002E-3</v>
          </cell>
        </row>
        <row r="820">
          <cell r="B820" t="str">
            <v>LY-116</v>
          </cell>
          <cell r="C820" t="str">
            <v>ESP</v>
          </cell>
          <cell r="D820">
            <v>44446</v>
          </cell>
          <cell r="E820">
            <v>0.31805555555555554</v>
          </cell>
          <cell r="F820">
            <v>4.1999999999999997E-3</v>
          </cell>
          <cell r="G820"/>
          <cell r="H820">
            <v>1.9E-3</v>
          </cell>
          <cell r="I820">
            <v>4.3999999999999997E-2</v>
          </cell>
          <cell r="J820">
            <v>4.0300000000000002E-2</v>
          </cell>
        </row>
        <row r="821">
          <cell r="B821" t="str">
            <v>LY-285</v>
          </cell>
          <cell r="C821" t="str">
            <v>ESP</v>
          </cell>
          <cell r="D821">
            <v>44446</v>
          </cell>
          <cell r="E821">
            <v>0.3215277777777778</v>
          </cell>
          <cell r="F821">
            <v>1.2999999999999999E-3</v>
          </cell>
          <cell r="G821"/>
          <cell r="H821">
            <v>1.01E-2</v>
          </cell>
          <cell r="I821">
            <v>3.0099999999999998E-2</v>
          </cell>
          <cell r="J821">
            <v>3.5000000000000003E-2</v>
          </cell>
        </row>
        <row r="822">
          <cell r="B822" t="str">
            <v>LY-280</v>
          </cell>
          <cell r="C822" t="str">
            <v>ESP</v>
          </cell>
          <cell r="D822">
            <v>44446</v>
          </cell>
          <cell r="E822">
            <v>0.55763888888888891</v>
          </cell>
          <cell r="F822">
            <v>3.0999999999999999E-3</v>
          </cell>
          <cell r="G822"/>
          <cell r="H822">
            <v>7.1999999999999998E-3</v>
          </cell>
          <cell r="I822">
            <v>1.3599999999999999E-2</v>
          </cell>
          <cell r="J822">
            <v>9.1999999999999998E-3</v>
          </cell>
        </row>
        <row r="823">
          <cell r="B823" t="str">
            <v>LY-123</v>
          </cell>
          <cell r="C823" t="str">
            <v>ESP</v>
          </cell>
          <cell r="D823">
            <v>44446</v>
          </cell>
          <cell r="E823">
            <v>0.56736111111111109</v>
          </cell>
          <cell r="F823">
            <v>2.69E-2</v>
          </cell>
          <cell r="G823"/>
          <cell r="H823">
            <v>4.1399999999999999E-2</v>
          </cell>
          <cell r="I823">
            <v>3.73E-2</v>
          </cell>
          <cell r="J823">
            <v>3.8E-3</v>
          </cell>
        </row>
        <row r="824">
          <cell r="B824" t="str">
            <v>LY-272</v>
          </cell>
          <cell r="C824" t="str">
            <v>ESP</v>
          </cell>
          <cell r="D824">
            <v>44447</v>
          </cell>
          <cell r="E824">
            <v>0.31458333333333333</v>
          </cell>
          <cell r="F824">
            <v>1E-4</v>
          </cell>
          <cell r="G824"/>
          <cell r="H824">
            <v>4.1999999999999997E-3</v>
          </cell>
          <cell r="I824">
            <v>1.0200000000000001E-2</v>
          </cell>
          <cell r="J824">
            <v>8.2000000000000007E-3</v>
          </cell>
        </row>
        <row r="825">
          <cell r="B825" t="str">
            <v>LY-035</v>
          </cell>
          <cell r="C825" t="str">
            <v>ESP</v>
          </cell>
          <cell r="D825">
            <v>44447</v>
          </cell>
          <cell r="E825">
            <v>0.32569444444444445</v>
          </cell>
          <cell r="F825">
            <v>1.6000000000000001E-3</v>
          </cell>
          <cell r="G825"/>
          <cell r="H825">
            <v>4.1999999999999997E-3</v>
          </cell>
          <cell r="I825">
            <v>9.4000000000000004E-3</v>
          </cell>
          <cell r="J825">
            <v>5.0000000000000001E-3</v>
          </cell>
        </row>
        <row r="826">
          <cell r="B826" t="str">
            <v>LY-224</v>
          </cell>
          <cell r="C826" t="str">
            <v>ESP</v>
          </cell>
          <cell r="D826">
            <v>44447</v>
          </cell>
          <cell r="E826">
            <v>0.5625</v>
          </cell>
          <cell r="F826">
            <v>2.5000000000000001E-3</v>
          </cell>
          <cell r="G826"/>
          <cell r="H826">
            <v>6.6E-3</v>
          </cell>
          <cell r="I826">
            <v>4.7100000000000003E-2</v>
          </cell>
          <cell r="J826">
            <v>1.9E-2</v>
          </cell>
        </row>
        <row r="827">
          <cell r="B827" t="str">
            <v>LY-201</v>
          </cell>
          <cell r="C827" t="str">
            <v>ESP</v>
          </cell>
          <cell r="D827">
            <v>44447</v>
          </cell>
          <cell r="E827">
            <v>0.56805555555555554</v>
          </cell>
          <cell r="F827">
            <v>2.3E-3</v>
          </cell>
          <cell r="G827"/>
          <cell r="H827">
            <v>2.8999999999999998E-3</v>
          </cell>
          <cell r="I827">
            <v>6.3E-3</v>
          </cell>
          <cell r="J827">
            <v>5.3E-3</v>
          </cell>
        </row>
        <row r="828">
          <cell r="B828" t="str">
            <v>LY-218</v>
          </cell>
          <cell r="C828" t="str">
            <v>ESP</v>
          </cell>
          <cell r="D828">
            <v>44448</v>
          </cell>
          <cell r="E828">
            <v>0.31875000000000003</v>
          </cell>
          <cell r="F828">
            <v>8.0999999999999996E-3</v>
          </cell>
          <cell r="G828"/>
          <cell r="H828">
            <v>2.2700000000000001E-2</v>
          </cell>
          <cell r="I828">
            <v>0.29809999999999998</v>
          </cell>
          <cell r="J828">
            <v>0.1789</v>
          </cell>
        </row>
        <row r="829">
          <cell r="B829" t="str">
            <v>LY-121</v>
          </cell>
          <cell r="C829" t="str">
            <v>ESP</v>
          </cell>
          <cell r="D829">
            <v>44448</v>
          </cell>
          <cell r="E829">
            <v>0.32291666666666669</v>
          </cell>
          <cell r="F829">
            <v>3.0999999999999999E-3</v>
          </cell>
          <cell r="G829"/>
          <cell r="H829">
            <v>5.1000000000000004E-3</v>
          </cell>
          <cell r="I829">
            <v>2.3400000000000001E-2</v>
          </cell>
          <cell r="J829">
            <v>2.3E-2</v>
          </cell>
        </row>
        <row r="830">
          <cell r="B830" t="str">
            <v>LY-106</v>
          </cell>
          <cell r="C830" t="str">
            <v>ESP</v>
          </cell>
          <cell r="D830">
            <v>44448</v>
          </cell>
          <cell r="E830">
            <v>0.56388888888888888</v>
          </cell>
          <cell r="F830">
            <v>4.8999999999999998E-3</v>
          </cell>
          <cell r="G830"/>
          <cell r="H830">
            <v>8.9999999999999993E-3</v>
          </cell>
          <cell r="I830">
            <v>1.0200000000000001E-2</v>
          </cell>
          <cell r="J830">
            <v>8.9999999999999993E-3</v>
          </cell>
        </row>
        <row r="831">
          <cell r="B831" t="str">
            <v>LY-032</v>
          </cell>
          <cell r="C831" t="str">
            <v>ESP</v>
          </cell>
          <cell r="D831">
            <v>44448</v>
          </cell>
          <cell r="E831">
            <v>0.57152777777777775</v>
          </cell>
          <cell r="F831">
            <v>8.6999999999999994E-3</v>
          </cell>
          <cell r="G831"/>
          <cell r="H831">
            <v>4.0800000000000003E-2</v>
          </cell>
          <cell r="I831">
            <v>4.5499999999999999E-2</v>
          </cell>
          <cell r="J831">
            <v>1.8800000000000001E-2</v>
          </cell>
        </row>
        <row r="832">
          <cell r="B832" t="str">
            <v>LY-001</v>
          </cell>
          <cell r="C832" t="str">
            <v>ESP</v>
          </cell>
          <cell r="D832">
            <v>44449</v>
          </cell>
          <cell r="E832">
            <v>0.31875000000000003</v>
          </cell>
          <cell r="F832">
            <v>1.1000000000000001E-3</v>
          </cell>
          <cell r="G832"/>
          <cell r="H832">
            <v>3.5000000000000001E-3</v>
          </cell>
          <cell r="I832">
            <v>1.04E-2</v>
          </cell>
          <cell r="J832">
            <v>5.1999999999999998E-3</v>
          </cell>
        </row>
        <row r="833">
          <cell r="B833" t="str">
            <v>LY-006</v>
          </cell>
          <cell r="C833" t="str">
            <v>ESP</v>
          </cell>
          <cell r="D833">
            <v>44449</v>
          </cell>
          <cell r="E833">
            <v>0.32291666666666669</v>
          </cell>
          <cell r="F833">
            <v>3.7000000000000002E-3</v>
          </cell>
          <cell r="G833"/>
          <cell r="H833">
            <v>3.2000000000000002E-3</v>
          </cell>
          <cell r="I833">
            <v>5.5999999999999999E-3</v>
          </cell>
          <cell r="J833">
            <v>7.7999999999999996E-3</v>
          </cell>
        </row>
        <row r="834">
          <cell r="B834" t="str">
            <v>LY-283</v>
          </cell>
          <cell r="C834" t="str">
            <v>ESP</v>
          </cell>
          <cell r="D834">
            <v>44449</v>
          </cell>
          <cell r="E834">
            <v>0.56944444444444442</v>
          </cell>
          <cell r="F834">
            <v>3.0999999999999999E-3</v>
          </cell>
          <cell r="G834"/>
          <cell r="H834">
            <v>2.3999999999999998E-3</v>
          </cell>
          <cell r="I834">
            <v>1.26E-2</v>
          </cell>
          <cell r="J834">
            <v>1.2200000000000001E-2</v>
          </cell>
        </row>
        <row r="835">
          <cell r="B835" t="str">
            <v>LY-248</v>
          </cell>
          <cell r="C835" t="str">
            <v>ESP</v>
          </cell>
          <cell r="D835">
            <v>44449</v>
          </cell>
          <cell r="E835">
            <v>0.57361111111111118</v>
          </cell>
          <cell r="F835">
            <v>4.1999999999999997E-3</v>
          </cell>
          <cell r="G835"/>
          <cell r="H835">
            <v>1.54E-2</v>
          </cell>
          <cell r="I835">
            <v>0.1045</v>
          </cell>
          <cell r="J835">
            <v>9.0200000000000002E-2</v>
          </cell>
        </row>
        <row r="836">
          <cell r="B836" t="str">
            <v>LY-162</v>
          </cell>
          <cell r="C836" t="str">
            <v>ESP</v>
          </cell>
          <cell r="D836">
            <v>44456</v>
          </cell>
          <cell r="E836">
            <v>0.31319444444444444</v>
          </cell>
          <cell r="F836">
            <v>1.6999999999999999E-3</v>
          </cell>
          <cell r="G836"/>
          <cell r="H836">
            <v>1.54E-2</v>
          </cell>
          <cell r="I836">
            <v>1.7000000000000001E-2</v>
          </cell>
          <cell r="J836">
            <v>4.0599999999999997E-2</v>
          </cell>
        </row>
        <row r="837">
          <cell r="B837" t="str">
            <v>LY-137</v>
          </cell>
          <cell r="C837" t="str">
            <v>ESP</v>
          </cell>
          <cell r="D837">
            <v>44456</v>
          </cell>
          <cell r="E837">
            <v>0.31666666666666665</v>
          </cell>
          <cell r="F837">
            <v>2.5999999999999999E-3</v>
          </cell>
          <cell r="G837"/>
          <cell r="H837">
            <v>3.5999999999999999E-3</v>
          </cell>
          <cell r="I837">
            <v>3.0999999999999999E-3</v>
          </cell>
          <cell r="J837">
            <v>4.0000000000000001E-3</v>
          </cell>
        </row>
        <row r="838">
          <cell r="B838" t="str">
            <v>LY-130</v>
          </cell>
          <cell r="C838" t="str">
            <v>ESP</v>
          </cell>
          <cell r="D838">
            <v>44456</v>
          </cell>
          <cell r="E838">
            <v>0.54166666666666663</v>
          </cell>
          <cell r="F838">
            <v>3.7000000000000002E-3</v>
          </cell>
          <cell r="G838"/>
          <cell r="H838">
            <v>9.1999999999999998E-3</v>
          </cell>
          <cell r="I838">
            <v>1.29E-2</v>
          </cell>
          <cell r="J838">
            <v>2.7000000000000001E-3</v>
          </cell>
        </row>
        <row r="839">
          <cell r="B839" t="str">
            <v>REX NE-05 ST</v>
          </cell>
          <cell r="C839" t="str">
            <v>ESP</v>
          </cell>
          <cell r="D839">
            <v>44456</v>
          </cell>
          <cell r="E839">
            <v>0.66041666666666665</v>
          </cell>
          <cell r="F839">
            <v>3.5999999999999997E-2</v>
          </cell>
          <cell r="G839"/>
          <cell r="H839">
            <v>4.7899999999999998E-2</v>
          </cell>
          <cell r="I839">
            <v>4.36E-2</v>
          </cell>
          <cell r="J839">
            <v>9.5999999999999992E-3</v>
          </cell>
        </row>
        <row r="840">
          <cell r="B840"/>
          <cell r="C840"/>
          <cell r="D840">
            <v>44461</v>
          </cell>
          <cell r="E840">
            <v>0.29166666666666669</v>
          </cell>
          <cell r="F840">
            <v>5.1999999999999998E-3</v>
          </cell>
          <cell r="G840"/>
          <cell r="H840">
            <v>1.3899999999999999E-2</v>
          </cell>
          <cell r="I840">
            <v>0.10489999999999999</v>
          </cell>
          <cell r="J840">
            <v>0.57920000000000005</v>
          </cell>
        </row>
        <row r="841">
          <cell r="B841" t="str">
            <v>CL-47</v>
          </cell>
          <cell r="C841" t="str">
            <v>ESP</v>
          </cell>
          <cell r="D841">
            <v>44461</v>
          </cell>
          <cell r="E841">
            <v>0.40972222222222227</v>
          </cell>
          <cell r="F841">
            <v>5.4000000000000003E-3</v>
          </cell>
          <cell r="G841"/>
          <cell r="H841">
            <v>6.4000000000000003E-3</v>
          </cell>
          <cell r="I841">
            <v>1.44E-2</v>
          </cell>
          <cell r="J841">
            <v>1.0999999999999999E-2</v>
          </cell>
        </row>
        <row r="842">
          <cell r="B842" t="str">
            <v>CL-36</v>
          </cell>
          <cell r="C842" t="str">
            <v>ESP</v>
          </cell>
          <cell r="D842">
            <v>44461</v>
          </cell>
          <cell r="E842">
            <v>0.41666666666666669</v>
          </cell>
          <cell r="F842">
            <v>5.3E-3</v>
          </cell>
          <cell r="G842"/>
          <cell r="H842">
            <v>9.9299999999999999E-2</v>
          </cell>
          <cell r="I842">
            <v>0.1416</v>
          </cell>
          <cell r="J842">
            <v>9.5799999999999996E-2</v>
          </cell>
        </row>
        <row r="843">
          <cell r="B843" t="str">
            <v>CL-29</v>
          </cell>
          <cell r="C843" t="str">
            <v>ESP</v>
          </cell>
          <cell r="D843">
            <v>44461</v>
          </cell>
          <cell r="E843">
            <v>0.58124999999999993</v>
          </cell>
          <cell r="F843">
            <v>2.5000000000000001E-3</v>
          </cell>
          <cell r="G843"/>
          <cell r="H843">
            <v>3.5000000000000001E-3</v>
          </cell>
          <cell r="I843">
            <v>4.7999999999999996E-3</v>
          </cell>
          <cell r="J843">
            <v>4.5999999999999999E-3</v>
          </cell>
        </row>
        <row r="844">
          <cell r="B844" t="str">
            <v>CL-18</v>
          </cell>
          <cell r="C844" t="str">
            <v>ESP</v>
          </cell>
          <cell r="D844">
            <v>44461</v>
          </cell>
          <cell r="E844">
            <v>0.58888888888888891</v>
          </cell>
          <cell r="F844">
            <v>5.0099999999999999E-2</v>
          </cell>
          <cell r="G844"/>
          <cell r="H844">
            <v>8.8700000000000001E-2</v>
          </cell>
          <cell r="I844">
            <v>5.4399999999999997E-2</v>
          </cell>
          <cell r="J844">
            <v>1.54E-2</v>
          </cell>
        </row>
        <row r="845">
          <cell r="B845" t="str">
            <v>CL-20</v>
          </cell>
          <cell r="C845" t="str">
            <v>ESP</v>
          </cell>
          <cell r="D845">
            <v>44462</v>
          </cell>
          <cell r="E845">
            <v>0.33333333333333331</v>
          </cell>
          <cell r="F845">
            <v>6.1999999999999998E-3</v>
          </cell>
          <cell r="G845"/>
          <cell r="H845">
            <v>4.1599999999999998E-2</v>
          </cell>
          <cell r="I845">
            <v>5.5899999999999998E-2</v>
          </cell>
          <cell r="J845">
            <v>1.4500000000000001E-2</v>
          </cell>
        </row>
        <row r="846">
          <cell r="B846" t="str">
            <v>CL-26</v>
          </cell>
          <cell r="C846" t="str">
            <v>ESP</v>
          </cell>
          <cell r="D846">
            <v>44462</v>
          </cell>
          <cell r="E846">
            <v>0.34027777777777773</v>
          </cell>
          <cell r="F846">
            <v>3.7000000000000002E-3</v>
          </cell>
          <cell r="G846"/>
          <cell r="H846">
            <v>4.4000000000000003E-3</v>
          </cell>
          <cell r="I846">
            <v>6.4999999999999997E-3</v>
          </cell>
          <cell r="J846">
            <v>4.4000000000000003E-3</v>
          </cell>
        </row>
        <row r="847">
          <cell r="B847" t="str">
            <v>CL-23</v>
          </cell>
          <cell r="C847" t="str">
            <v>ESP</v>
          </cell>
          <cell r="D847">
            <v>44462</v>
          </cell>
          <cell r="E847">
            <v>0.56944444444444442</v>
          </cell>
          <cell r="F847">
            <v>1.35E-2</v>
          </cell>
          <cell r="G847"/>
          <cell r="H847">
            <v>2.3900000000000001E-2</v>
          </cell>
          <cell r="I847">
            <v>7.7000000000000002E-3</v>
          </cell>
          <cell r="J847">
            <v>5.1999999999999998E-3</v>
          </cell>
        </row>
        <row r="848">
          <cell r="B848" t="str">
            <v>CL-02</v>
          </cell>
          <cell r="C848" t="str">
            <v>ESP</v>
          </cell>
          <cell r="D848">
            <v>44462</v>
          </cell>
          <cell r="E848">
            <v>0.57638888888888895</v>
          </cell>
          <cell r="F848">
            <v>2.5100000000000001E-2</v>
          </cell>
          <cell r="G848"/>
          <cell r="H848">
            <v>3.1399999999999997E-2</v>
          </cell>
          <cell r="I848">
            <v>4.1399999999999999E-2</v>
          </cell>
          <cell r="J848">
            <v>1.32E-2</v>
          </cell>
        </row>
        <row r="849">
          <cell r="B849" t="str">
            <v>LY-223</v>
          </cell>
          <cell r="C849" t="str">
            <v>ESP</v>
          </cell>
          <cell r="D849">
            <v>44463</v>
          </cell>
          <cell r="E849">
            <v>0.34375</v>
          </cell>
          <cell r="F849">
            <v>4.1999999999999997E-3</v>
          </cell>
          <cell r="G849"/>
          <cell r="H849">
            <v>5.3E-3</v>
          </cell>
          <cell r="I849">
            <v>1.61E-2</v>
          </cell>
          <cell r="J849">
            <v>2.0400000000000001E-2</v>
          </cell>
        </row>
        <row r="850">
          <cell r="B850" t="str">
            <v>LY-227</v>
          </cell>
          <cell r="C850" t="str">
            <v>ESP</v>
          </cell>
          <cell r="D850">
            <v>44463</v>
          </cell>
          <cell r="E850">
            <v>0.34861111111111115</v>
          </cell>
          <cell r="F850">
            <v>3.8800000000000001E-2</v>
          </cell>
          <cell r="G850"/>
          <cell r="H850">
            <v>0.16220000000000001</v>
          </cell>
          <cell r="I850">
            <v>0.13589999999999999</v>
          </cell>
          <cell r="J850">
            <v>2.7900000000000001E-2</v>
          </cell>
        </row>
        <row r="851">
          <cell r="B851" t="str">
            <v>LY-258</v>
          </cell>
          <cell r="C851" t="str">
            <v>ESP</v>
          </cell>
          <cell r="D851">
            <v>44463</v>
          </cell>
          <cell r="E851">
            <v>0.55763888888888891</v>
          </cell>
          <cell r="F851">
            <v>1.3100000000000001E-2</v>
          </cell>
          <cell r="G851"/>
          <cell r="H851">
            <v>8.2000000000000007E-3</v>
          </cell>
          <cell r="I851">
            <v>2.41E-2</v>
          </cell>
          <cell r="J851">
            <v>7.4000000000000003E-3</v>
          </cell>
        </row>
        <row r="852">
          <cell r="B852" t="str">
            <v>LY-076</v>
          </cell>
          <cell r="C852" t="str">
            <v>ESP</v>
          </cell>
          <cell r="D852">
            <v>44463</v>
          </cell>
          <cell r="E852">
            <v>0.56944444444444442</v>
          </cell>
          <cell r="F852">
            <v>8.8999999999999999E-3</v>
          </cell>
          <cell r="G852"/>
          <cell r="H852">
            <v>8.6999999999999994E-3</v>
          </cell>
          <cell r="I852">
            <v>1.4E-2</v>
          </cell>
          <cell r="J852">
            <v>1.21E-2</v>
          </cell>
        </row>
        <row r="853">
          <cell r="B853" t="str">
            <v>REX NE-05 ST</v>
          </cell>
          <cell r="C853" t="str">
            <v>ESP</v>
          </cell>
          <cell r="D853">
            <v>44464</v>
          </cell>
          <cell r="E853">
            <v>0.31388888888888888</v>
          </cell>
          <cell r="F853">
            <v>3.4599999999999999E-2</v>
          </cell>
          <cell r="G853"/>
          <cell r="H853">
            <v>6.3200000000000006E-2</v>
          </cell>
          <cell r="I853">
            <v>9.6299999999999997E-2</v>
          </cell>
          <cell r="J853">
            <v>0.1103</v>
          </cell>
        </row>
        <row r="854">
          <cell r="B854"/>
          <cell r="C854"/>
          <cell r="D854">
            <v>44466</v>
          </cell>
          <cell r="E854">
            <v>0.30208333333333331</v>
          </cell>
          <cell r="F854">
            <v>3.1800000000000002E-2</v>
          </cell>
          <cell r="G854"/>
          <cell r="H854">
            <v>2.8000000000000001E-2</v>
          </cell>
          <cell r="I854">
            <v>3.39E-2</v>
          </cell>
          <cell r="J854">
            <v>2.2800000000000001E-2</v>
          </cell>
        </row>
        <row r="855">
          <cell r="B855" t="str">
            <v>MN-29</v>
          </cell>
          <cell r="C855" t="str">
            <v>ESP</v>
          </cell>
          <cell r="D855">
            <v>44466</v>
          </cell>
          <cell r="E855">
            <v>0.40972222222222227</v>
          </cell>
          <cell r="F855">
            <v>2.8E-3</v>
          </cell>
          <cell r="G855"/>
          <cell r="H855">
            <v>1.11E-2</v>
          </cell>
          <cell r="I855">
            <v>3.7100000000000001E-2</v>
          </cell>
          <cell r="J855">
            <v>0.13619999999999999</v>
          </cell>
        </row>
        <row r="856">
          <cell r="B856"/>
          <cell r="C856" t="str">
            <v>ESP</v>
          </cell>
          <cell r="D856">
            <v>44467</v>
          </cell>
          <cell r="E856">
            <v>0.3125</v>
          </cell>
          <cell r="F856">
            <v>1.5599999999999999E-2</v>
          </cell>
          <cell r="G856"/>
          <cell r="H856">
            <v>1.4999999999999999E-2</v>
          </cell>
          <cell r="I856">
            <v>4.5699999999999998E-2</v>
          </cell>
          <cell r="J856">
            <v>0.18099999999999999</v>
          </cell>
        </row>
        <row r="857">
          <cell r="B857" t="str">
            <v>LY-100</v>
          </cell>
          <cell r="C857" t="str">
            <v>ESP</v>
          </cell>
          <cell r="D857">
            <v>44467</v>
          </cell>
          <cell r="E857">
            <v>0.3354166666666667</v>
          </cell>
          <cell r="F857">
            <v>6.6E-3</v>
          </cell>
          <cell r="G857"/>
          <cell r="H857">
            <v>5.7999999999999996E-3</v>
          </cell>
          <cell r="I857">
            <v>1.38E-2</v>
          </cell>
          <cell r="J857">
            <v>1.09E-2</v>
          </cell>
        </row>
        <row r="858">
          <cell r="B858" t="str">
            <v>REX NE-05 ST</v>
          </cell>
          <cell r="C858" t="str">
            <v>ESP</v>
          </cell>
          <cell r="D858">
            <v>44468</v>
          </cell>
          <cell r="E858">
            <v>0.2986111111111111</v>
          </cell>
          <cell r="F858">
            <v>5.5999999999999999E-3</v>
          </cell>
          <cell r="G858"/>
          <cell r="H858">
            <v>1.0999999999999999E-2</v>
          </cell>
          <cell r="I858">
            <v>7.4000000000000003E-3</v>
          </cell>
          <cell r="J858">
            <v>9.9000000000000008E-3</v>
          </cell>
        </row>
        <row r="859">
          <cell r="B859" t="str">
            <v>LY-266</v>
          </cell>
          <cell r="C859" t="str">
            <v>ESP</v>
          </cell>
          <cell r="D859">
            <v>44468</v>
          </cell>
          <cell r="E859">
            <v>0.38750000000000001</v>
          </cell>
          <cell r="F859">
            <v>5.8999999999999999E-3</v>
          </cell>
          <cell r="G859"/>
          <cell r="H859">
            <v>8.2000000000000007E-3</v>
          </cell>
          <cell r="I859">
            <v>9.9000000000000008E-3</v>
          </cell>
          <cell r="J859">
            <v>2.81E-2</v>
          </cell>
        </row>
        <row r="860">
          <cell r="B860" t="str">
            <v>CY-66</v>
          </cell>
          <cell r="C860" t="str">
            <v>ESP</v>
          </cell>
          <cell r="D860">
            <v>44468</v>
          </cell>
          <cell r="E860">
            <v>0.57847222222222217</v>
          </cell>
          <cell r="F860">
            <v>1.7999999999999999E-2</v>
          </cell>
          <cell r="G860"/>
          <cell r="H860">
            <v>2.6200000000000001E-2</v>
          </cell>
          <cell r="I860">
            <v>0.98399999999999999</v>
          </cell>
          <cell r="J860">
            <v>0.80800000000000005</v>
          </cell>
        </row>
        <row r="861">
          <cell r="B861" t="str">
            <v>CY-14</v>
          </cell>
          <cell r="C861" t="str">
            <v>ESP</v>
          </cell>
          <cell r="D861">
            <v>44469</v>
          </cell>
          <cell r="E861">
            <v>0.3125</v>
          </cell>
          <cell r="F861">
            <v>1.4E-2</v>
          </cell>
          <cell r="G861"/>
          <cell r="H861">
            <v>4.41E-2</v>
          </cell>
          <cell r="I861">
            <v>5.0299999999999997E-2</v>
          </cell>
          <cell r="J861">
            <v>2.5700000000000001E-2</v>
          </cell>
        </row>
        <row r="862">
          <cell r="B862" t="str">
            <v>CY-78</v>
          </cell>
          <cell r="C862" t="str">
            <v>ESP</v>
          </cell>
          <cell r="D862">
            <v>44469</v>
          </cell>
          <cell r="E862">
            <v>0.625</v>
          </cell>
          <cell r="F862">
            <v>7.9000000000000008E-3</v>
          </cell>
          <cell r="G862"/>
          <cell r="H862">
            <v>7.1999999999999998E-3</v>
          </cell>
          <cell r="I862">
            <v>2.53E-2</v>
          </cell>
          <cell r="J862">
            <v>3.1800000000000002E-2</v>
          </cell>
        </row>
        <row r="863">
          <cell r="B863" t="str">
            <v>REX NE-05ST</v>
          </cell>
          <cell r="C863" t="str">
            <v>ESP</v>
          </cell>
          <cell r="D863">
            <v>44470</v>
          </cell>
          <cell r="E863">
            <v>0.34513888888888888</v>
          </cell>
          <cell r="F863">
            <v>6.3E-3</v>
          </cell>
          <cell r="G863"/>
          <cell r="H863">
            <v>8.8999999999999999E-3</v>
          </cell>
          <cell r="I863">
            <v>2.1399999999999999E-2</v>
          </cell>
          <cell r="J863">
            <v>4.3499999999999997E-2</v>
          </cell>
        </row>
        <row r="864">
          <cell r="B864" t="str">
            <v>CY-25</v>
          </cell>
          <cell r="C864" t="str">
            <v>ESP</v>
          </cell>
          <cell r="D864">
            <v>44470</v>
          </cell>
          <cell r="E864">
            <v>0.40069444444444446</v>
          </cell>
          <cell r="F864">
            <v>7.6E-3</v>
          </cell>
          <cell r="G864"/>
          <cell r="H864">
            <v>1.47E-2</v>
          </cell>
          <cell r="I864">
            <v>2.7E-2</v>
          </cell>
          <cell r="J864">
            <v>1.52E-2</v>
          </cell>
        </row>
        <row r="865">
          <cell r="B865" t="str">
            <v>REX NE-04</v>
          </cell>
          <cell r="C865" t="str">
            <v>ESP</v>
          </cell>
          <cell r="D865">
            <v>44470</v>
          </cell>
          <cell r="E865">
            <v>0.30208333333333331</v>
          </cell>
          <cell r="F865">
            <v>4.4000000000000003E-3</v>
          </cell>
          <cell r="G865"/>
          <cell r="H865">
            <v>1.1299999999999999E-2</v>
          </cell>
          <cell r="I865">
            <v>3.7499999999999999E-2</v>
          </cell>
          <cell r="J865">
            <v>1.8599999999999998E-2</v>
          </cell>
        </row>
        <row r="866">
          <cell r="B866"/>
          <cell r="C866"/>
          <cell r="D866">
            <v>44471</v>
          </cell>
          <cell r="E866">
            <v>0.2590277777777778</v>
          </cell>
          <cell r="F866">
            <v>8.3999999999999995E-3</v>
          </cell>
          <cell r="G866"/>
          <cell r="H866">
            <v>1.8800000000000001E-2</v>
          </cell>
          <cell r="I866">
            <v>9.0999999999999998E-2</v>
          </cell>
          <cell r="J866">
            <v>5.3999999999999999E-2</v>
          </cell>
        </row>
        <row r="867">
          <cell r="B867" t="str">
            <v>CY-67</v>
          </cell>
          <cell r="C867" t="str">
            <v>ESP</v>
          </cell>
          <cell r="D867">
            <v>44470</v>
          </cell>
          <cell r="E867">
            <v>0.61805555555555558</v>
          </cell>
          <cell r="F867">
            <v>0.1673</v>
          </cell>
          <cell r="G867"/>
          <cell r="H867">
            <v>0.54779999999999995</v>
          </cell>
          <cell r="I867">
            <v>1.6910000000000001</v>
          </cell>
          <cell r="J867">
            <v>0.53169999999999995</v>
          </cell>
        </row>
        <row r="868">
          <cell r="B868" t="str">
            <v>REX NE-05ST</v>
          </cell>
          <cell r="C868" t="str">
            <v>ESP</v>
          </cell>
          <cell r="D868">
            <v>44471</v>
          </cell>
          <cell r="E868">
            <v>0.27083333333333331</v>
          </cell>
          <cell r="F868">
            <v>7.6E-3</v>
          </cell>
          <cell r="G868"/>
          <cell r="H868">
            <v>1.06E-2</v>
          </cell>
          <cell r="I868">
            <v>2.7900000000000001E-2</v>
          </cell>
          <cell r="J868">
            <v>7.8600000000000003E-2</v>
          </cell>
        </row>
        <row r="869">
          <cell r="B869" t="str">
            <v>CY-79</v>
          </cell>
          <cell r="C869" t="str">
            <v>ESP</v>
          </cell>
          <cell r="D869">
            <v>44473</v>
          </cell>
          <cell r="E869">
            <v>0.3972222222222222</v>
          </cell>
          <cell r="F869">
            <v>1.2800000000000001E-2</v>
          </cell>
          <cell r="G869"/>
          <cell r="H869">
            <v>1.9699999999999999E-2</v>
          </cell>
          <cell r="I869">
            <v>2.29E-2</v>
          </cell>
          <cell r="J869">
            <v>1.34E-2</v>
          </cell>
        </row>
        <row r="870">
          <cell r="B870" t="str">
            <v>REX NE-05 ST</v>
          </cell>
          <cell r="C870" t="str">
            <v>ESP</v>
          </cell>
          <cell r="D870">
            <v>44473</v>
          </cell>
          <cell r="E870">
            <v>0.29166666666666669</v>
          </cell>
          <cell r="F870">
            <v>7.3000000000000001E-3</v>
          </cell>
          <cell r="G870"/>
          <cell r="H870">
            <v>8.5000000000000006E-3</v>
          </cell>
          <cell r="I870">
            <v>2.4500000000000001E-2</v>
          </cell>
          <cell r="J870">
            <v>4.65E-2</v>
          </cell>
        </row>
        <row r="871">
          <cell r="B871" t="str">
            <v>CY-28</v>
          </cell>
          <cell r="C871" t="str">
            <v>ESP</v>
          </cell>
          <cell r="D871">
            <v>44473</v>
          </cell>
          <cell r="E871">
            <v>0.61111111111111105</v>
          </cell>
          <cell r="F871">
            <v>5.5999999999999999E-3</v>
          </cell>
          <cell r="G871"/>
          <cell r="H871">
            <v>7.7000000000000002E-3</v>
          </cell>
          <cell r="I871">
            <v>2.1100000000000001E-2</v>
          </cell>
          <cell r="J871">
            <v>1.0500000000000001E-2</v>
          </cell>
        </row>
        <row r="872">
          <cell r="B872" t="str">
            <v>CY-91</v>
          </cell>
          <cell r="C872" t="str">
            <v>ESP</v>
          </cell>
          <cell r="D872">
            <v>44474</v>
          </cell>
          <cell r="E872">
            <v>0.34930555555555554</v>
          </cell>
          <cell r="F872">
            <v>1.47E-2</v>
          </cell>
          <cell r="G872"/>
          <cell r="H872">
            <v>1.29E-2</v>
          </cell>
          <cell r="I872">
            <v>4.2999999999999997E-2</v>
          </cell>
          <cell r="J872">
            <v>0.10489999999999999</v>
          </cell>
        </row>
        <row r="873">
          <cell r="B873" t="str">
            <v>MN-29</v>
          </cell>
          <cell r="C873" t="str">
            <v>ESP</v>
          </cell>
          <cell r="D873">
            <v>44475</v>
          </cell>
          <cell r="E873">
            <v>0.59166666666666667</v>
          </cell>
          <cell r="F873">
            <v>3.3399999999999999E-2</v>
          </cell>
          <cell r="G873"/>
          <cell r="H873">
            <v>5.9299999999999999E-2</v>
          </cell>
          <cell r="I873">
            <v>0.23449999999999999</v>
          </cell>
          <cell r="J873">
            <v>0.1333</v>
          </cell>
        </row>
        <row r="874">
          <cell r="B874" t="str">
            <v>LY-180</v>
          </cell>
          <cell r="C874" t="str">
            <v>ESP</v>
          </cell>
          <cell r="D874">
            <v>44475</v>
          </cell>
          <cell r="E874">
            <v>0.45833333333333331</v>
          </cell>
          <cell r="F874">
            <v>9.7999999999999997E-3</v>
          </cell>
          <cell r="G874"/>
          <cell r="H874">
            <v>6.9500000000000006E-2</v>
          </cell>
          <cell r="I874">
            <v>0.154</v>
          </cell>
          <cell r="J874">
            <v>6.1899999999999997E-2</v>
          </cell>
        </row>
        <row r="875">
          <cell r="B875" t="str">
            <v>REX NE-05 ST</v>
          </cell>
          <cell r="C875" t="str">
            <v>ESP</v>
          </cell>
          <cell r="D875">
            <v>44475</v>
          </cell>
          <cell r="E875">
            <v>0.42708333333333331</v>
          </cell>
          <cell r="F875">
            <v>1.41E-2</v>
          </cell>
          <cell r="G875"/>
          <cell r="H875">
            <v>1.8499999999999999E-2</v>
          </cell>
          <cell r="I875">
            <v>4.7100000000000003E-2</v>
          </cell>
          <cell r="J875">
            <v>4.87E-2</v>
          </cell>
        </row>
        <row r="876">
          <cell r="B876" t="str">
            <v>MN-57</v>
          </cell>
          <cell r="C876" t="str">
            <v>ESP</v>
          </cell>
          <cell r="D876">
            <v>44480</v>
          </cell>
          <cell r="E876">
            <v>0.55208333333333337</v>
          </cell>
          <cell r="F876">
            <v>9.7000000000000003E-3</v>
          </cell>
          <cell r="G876"/>
          <cell r="H876">
            <v>6.0000000000000001E-3</v>
          </cell>
          <cell r="I876">
            <v>1.4999999999999999E-2</v>
          </cell>
          <cell r="J876">
            <v>1.29E-2</v>
          </cell>
        </row>
        <row r="877">
          <cell r="B877" t="str">
            <v>LY-221</v>
          </cell>
          <cell r="C877" t="str">
            <v>ESP</v>
          </cell>
          <cell r="D877">
            <v>44481</v>
          </cell>
          <cell r="E877">
            <v>0.35416666666666669</v>
          </cell>
          <cell r="F877">
            <v>6.7999999999999996E-3</v>
          </cell>
          <cell r="G877"/>
          <cell r="H877">
            <v>2.8000000000000001E-2</v>
          </cell>
          <cell r="I877">
            <v>1.7999999999999999E-2</v>
          </cell>
          <cell r="J877">
            <v>8.2000000000000007E-3</v>
          </cell>
        </row>
        <row r="878">
          <cell r="B878" t="str">
            <v>LY-252</v>
          </cell>
          <cell r="C878" t="str">
            <v>ESP</v>
          </cell>
          <cell r="D878">
            <v>44481</v>
          </cell>
          <cell r="E878">
            <v>0.58611111111111114</v>
          </cell>
          <cell r="F878">
            <v>5.7000000000000002E-3</v>
          </cell>
          <cell r="G878"/>
          <cell r="H878">
            <v>7.4000000000000003E-3</v>
          </cell>
          <cell r="I878">
            <v>1.8700000000000001E-2</v>
          </cell>
          <cell r="J878">
            <v>4.7000000000000002E-3</v>
          </cell>
        </row>
        <row r="879">
          <cell r="B879" t="str">
            <v>LY-247</v>
          </cell>
          <cell r="C879" t="str">
            <v>ESP</v>
          </cell>
          <cell r="D879">
            <v>44482</v>
          </cell>
          <cell r="E879">
            <v>0.35000000000000003</v>
          </cell>
          <cell r="F879">
            <v>4.7000000000000002E-3</v>
          </cell>
          <cell r="G879"/>
          <cell r="H879">
            <v>3.0000000000000001E-3</v>
          </cell>
          <cell r="I879">
            <v>8.3999999999999995E-3</v>
          </cell>
          <cell r="J879">
            <v>4.0000000000000001E-3</v>
          </cell>
        </row>
        <row r="880">
          <cell r="B880" t="str">
            <v>LY-263</v>
          </cell>
          <cell r="C880" t="str">
            <v>ESP</v>
          </cell>
          <cell r="D880">
            <v>44482</v>
          </cell>
          <cell r="E880">
            <v>0.58333333333333337</v>
          </cell>
          <cell r="F880">
            <v>1.95E-2</v>
          </cell>
          <cell r="G880"/>
          <cell r="H880">
            <v>3.9E-2</v>
          </cell>
          <cell r="I880">
            <v>4.3900000000000002E-2</v>
          </cell>
          <cell r="J880">
            <v>1.61E-2</v>
          </cell>
        </row>
        <row r="881">
          <cell r="B881" t="str">
            <v>LY-262</v>
          </cell>
          <cell r="C881" t="str">
            <v>ESP</v>
          </cell>
          <cell r="D881">
            <v>44483</v>
          </cell>
          <cell r="E881">
            <v>0.30902777777777779</v>
          </cell>
          <cell r="F881">
            <v>2.2000000000000001E-3</v>
          </cell>
          <cell r="G881"/>
          <cell r="H881">
            <v>3.8999999999999998E-3</v>
          </cell>
          <cell r="I881">
            <v>6.6E-3</v>
          </cell>
          <cell r="J881">
            <v>3.2000000000000002E-3</v>
          </cell>
        </row>
        <row r="882">
          <cell r="B882" t="str">
            <v>LY-045</v>
          </cell>
          <cell r="C882" t="str">
            <v>ESP</v>
          </cell>
          <cell r="D882">
            <v>44483</v>
          </cell>
          <cell r="E882">
            <v>0.57430555555555551</v>
          </cell>
          <cell r="F882">
            <v>2.5700000000000001E-2</v>
          </cell>
          <cell r="G882"/>
          <cell r="H882">
            <v>3.3700000000000001E-2</v>
          </cell>
          <cell r="I882">
            <v>3.0099999999999998E-2</v>
          </cell>
          <cell r="J882">
            <v>1.01E-2</v>
          </cell>
        </row>
        <row r="883">
          <cell r="B883" t="str">
            <v>CY-92</v>
          </cell>
          <cell r="C883" t="str">
            <v>ESP</v>
          </cell>
          <cell r="D883">
            <v>44484</v>
          </cell>
          <cell r="E883">
            <v>0.37083333333333335</v>
          </cell>
          <cell r="F883">
            <v>4.4000000000000003E-3</v>
          </cell>
          <cell r="G883"/>
          <cell r="H883">
            <v>1.84E-2</v>
          </cell>
          <cell r="I883">
            <v>3.0800000000000001E-2</v>
          </cell>
          <cell r="J883">
            <v>1.1900000000000001E-2</v>
          </cell>
        </row>
        <row r="884">
          <cell r="B884" t="str">
            <v>REX NE-05 ST</v>
          </cell>
          <cell r="C884" t="str">
            <v>ESP</v>
          </cell>
          <cell r="D884">
            <v>44485</v>
          </cell>
          <cell r="E884">
            <v>0.27083333333333331</v>
          </cell>
          <cell r="F884">
            <v>8.5000000000000006E-3</v>
          </cell>
          <cell r="G884"/>
          <cell r="H884">
            <v>7.7000000000000002E-3</v>
          </cell>
          <cell r="I884">
            <v>7.1800000000000003E-2</v>
          </cell>
          <cell r="J884">
            <v>4.07E-2</v>
          </cell>
        </row>
        <row r="885">
          <cell r="B885" t="str">
            <v>CY-16</v>
          </cell>
          <cell r="C885" t="str">
            <v>ESP</v>
          </cell>
          <cell r="D885">
            <v>44484</v>
          </cell>
          <cell r="E885">
            <v>0.59027777777777779</v>
          </cell>
          <cell r="F885">
            <v>2.7699999999999999E-2</v>
          </cell>
          <cell r="G885"/>
          <cell r="H885">
            <v>4.7100000000000003E-2</v>
          </cell>
          <cell r="I885">
            <v>5.9337999999999997</v>
          </cell>
          <cell r="J885">
            <v>0.77969999999999995</v>
          </cell>
        </row>
        <row r="886">
          <cell r="B886" t="str">
            <v>REX NE-01ST2</v>
          </cell>
          <cell r="C886" t="str">
            <v>ESP</v>
          </cell>
          <cell r="D886">
            <v>44485</v>
          </cell>
          <cell r="E886">
            <v>0.29166666666666669</v>
          </cell>
          <cell r="F886">
            <v>5.4000000000000003E-3</v>
          </cell>
          <cell r="G886"/>
          <cell r="H886">
            <v>3.2000000000000002E-3</v>
          </cell>
          <cell r="I886">
            <v>9.7999999999999997E-3</v>
          </cell>
          <cell r="J886">
            <v>7.4999999999999997E-3</v>
          </cell>
        </row>
        <row r="887">
          <cell r="B887" t="str">
            <v>REX NE-01ST2</v>
          </cell>
          <cell r="C887" t="str">
            <v>ESP</v>
          </cell>
          <cell r="D887">
            <v>44488</v>
          </cell>
          <cell r="E887">
            <v>0.29166666666666669</v>
          </cell>
          <cell r="F887">
            <v>5.0000000000000001E-3</v>
          </cell>
          <cell r="G887"/>
          <cell r="H887">
            <v>4.5999999999999999E-3</v>
          </cell>
          <cell r="I887">
            <v>1.7600000000000001E-2</v>
          </cell>
          <cell r="J887">
            <v>9.1000000000000004E-3</v>
          </cell>
        </row>
        <row r="888">
          <cell r="B888" t="str">
            <v>REX NE-04</v>
          </cell>
          <cell r="C888" t="str">
            <v>ESP</v>
          </cell>
          <cell r="D888">
            <v>44488</v>
          </cell>
          <cell r="E888">
            <v>0.29166666666666669</v>
          </cell>
          <cell r="F888">
            <v>1.2E-2</v>
          </cell>
          <cell r="G888"/>
          <cell r="H888">
            <v>5.0799999999999998E-2</v>
          </cell>
          <cell r="I888">
            <v>5.6399999999999999E-2</v>
          </cell>
          <cell r="J888">
            <v>1.6400000000000001E-2</v>
          </cell>
        </row>
        <row r="889">
          <cell r="B889" t="str">
            <v>REX NE-01ST2</v>
          </cell>
          <cell r="C889" t="str">
            <v>ESP</v>
          </cell>
          <cell r="D889">
            <v>44490</v>
          </cell>
          <cell r="E889">
            <v>0.3125</v>
          </cell>
          <cell r="F889">
            <v>2.4199999999999999E-2</v>
          </cell>
          <cell r="G889"/>
          <cell r="H889">
            <v>3.9E-2</v>
          </cell>
          <cell r="I889">
            <v>1.84E-2</v>
          </cell>
          <cell r="J889">
            <v>6.6E-3</v>
          </cell>
        </row>
        <row r="890">
          <cell r="B890" t="str">
            <v>REX NE-04</v>
          </cell>
          <cell r="C890" t="str">
            <v>ESP</v>
          </cell>
          <cell r="D890">
            <v>44490</v>
          </cell>
          <cell r="E890">
            <v>0.29166666666666669</v>
          </cell>
          <cell r="F890">
            <v>2.7699999999999999E-2</v>
          </cell>
          <cell r="G890"/>
          <cell r="H890">
            <v>3.9899999999999998E-2</v>
          </cell>
          <cell r="I890">
            <v>4.6600000000000003E-2</v>
          </cell>
          <cell r="J890">
            <v>1.21E-2</v>
          </cell>
        </row>
        <row r="891">
          <cell r="B891" t="str">
            <v>REX NE-01ST2</v>
          </cell>
          <cell r="C891" t="str">
            <v>ESP</v>
          </cell>
          <cell r="D891">
            <v>44492</v>
          </cell>
          <cell r="E891">
            <v>0.33055555555555555</v>
          </cell>
          <cell r="F891">
            <v>2.3999999999999998E-3</v>
          </cell>
          <cell r="G891"/>
          <cell r="H891">
            <v>3.3999999999999998E-3</v>
          </cell>
          <cell r="I891">
            <v>9.2999999999999992E-3</v>
          </cell>
          <cell r="J891">
            <v>8.6999999999999994E-3</v>
          </cell>
        </row>
        <row r="892">
          <cell r="B892" t="str">
            <v xml:space="preserve">REX NE-05ST </v>
          </cell>
          <cell r="C892" t="str">
            <v>ESP</v>
          </cell>
          <cell r="D892">
            <v>44492</v>
          </cell>
          <cell r="E892">
            <v>0.3125</v>
          </cell>
          <cell r="F892">
            <v>3.4299999999999997E-2</v>
          </cell>
          <cell r="G892"/>
          <cell r="H892">
            <v>6.8099999999999994E-2</v>
          </cell>
          <cell r="I892">
            <v>4.7500000000000001E-2</v>
          </cell>
          <cell r="J892">
            <v>1.1900000000000001E-2</v>
          </cell>
        </row>
        <row r="893">
          <cell r="B893" t="str">
            <v>REX NE-05ST</v>
          </cell>
          <cell r="C893" t="str">
            <v>ESP</v>
          </cell>
          <cell r="D893">
            <v>44494</v>
          </cell>
          <cell r="E893">
            <v>0.28472222222222221</v>
          </cell>
          <cell r="F893">
            <v>3.5000000000000001E-3</v>
          </cell>
          <cell r="G893"/>
          <cell r="H893">
            <v>1.9E-3</v>
          </cell>
          <cell r="I893">
            <v>3.3E-3</v>
          </cell>
          <cell r="J893">
            <v>4.7000000000000002E-3</v>
          </cell>
        </row>
        <row r="894">
          <cell r="B894" t="str">
            <v>REX NE-01ST2</v>
          </cell>
          <cell r="C894" t="str">
            <v>ESP</v>
          </cell>
          <cell r="D894">
            <v>44494</v>
          </cell>
          <cell r="E894">
            <v>0.30208333333333331</v>
          </cell>
          <cell r="F894">
            <v>2.3999999999999998E-3</v>
          </cell>
          <cell r="G894"/>
          <cell r="H894">
            <v>1.6999999999999999E-3</v>
          </cell>
          <cell r="I894">
            <v>6.0000000000000001E-3</v>
          </cell>
          <cell r="J894">
            <v>4.5999999999999999E-3</v>
          </cell>
        </row>
        <row r="895">
          <cell r="B895" t="str">
            <v>REX NE-05ST</v>
          </cell>
          <cell r="C895" t="str">
            <v>ESP</v>
          </cell>
          <cell r="D895">
            <v>44498</v>
          </cell>
          <cell r="E895">
            <v>0.2986111111111111</v>
          </cell>
          <cell r="F895">
            <v>1.1999999999999999E-3</v>
          </cell>
          <cell r="G895"/>
          <cell r="H895">
            <v>2.5000000000000001E-3</v>
          </cell>
          <cell r="I895">
            <v>5.4000000000000003E-3</v>
          </cell>
          <cell r="J895">
            <v>1.3899999999999999E-2</v>
          </cell>
        </row>
        <row r="896">
          <cell r="B896" t="str">
            <v>REX-NE-004</v>
          </cell>
          <cell r="C896" t="str">
            <v>ESP</v>
          </cell>
          <cell r="D896">
            <v>44498</v>
          </cell>
          <cell r="E896">
            <v>0.30555555555555552</v>
          </cell>
          <cell r="F896">
            <v>5.9999999999999995E-4</v>
          </cell>
          <cell r="G896"/>
          <cell r="H896">
            <v>2.0999999999999999E-3</v>
          </cell>
          <cell r="I896">
            <v>9.7000000000000003E-3</v>
          </cell>
          <cell r="J896">
            <v>8.0999999999999996E-3</v>
          </cell>
        </row>
        <row r="897">
          <cell r="B897" t="str">
            <v>REX NE-02</v>
          </cell>
          <cell r="C897" t="str">
            <v>ESP</v>
          </cell>
          <cell r="D897">
            <v>44502</v>
          </cell>
          <cell r="E897">
            <v>0.29375000000000001</v>
          </cell>
          <cell r="F897">
            <v>1.18E-2</v>
          </cell>
          <cell r="G897"/>
          <cell r="H897">
            <v>3.0800000000000001E-2</v>
          </cell>
          <cell r="I897">
            <v>2.4899999999999999E-2</v>
          </cell>
          <cell r="J897">
            <v>1.6999999999999999E-3</v>
          </cell>
        </row>
        <row r="898">
          <cell r="B898" t="str">
            <v>REX NE-04</v>
          </cell>
          <cell r="C898" t="str">
            <v>ESP</v>
          </cell>
          <cell r="D898">
            <v>44502</v>
          </cell>
          <cell r="E898">
            <v>0.30208333333333331</v>
          </cell>
          <cell r="F898">
            <v>8.0000000000000004E-4</v>
          </cell>
          <cell r="G898"/>
          <cell r="H898">
            <v>2.3999999999999998E-3</v>
          </cell>
          <cell r="I898">
            <v>1.06E-2</v>
          </cell>
          <cell r="J898">
            <v>8.0999999999999996E-3</v>
          </cell>
        </row>
        <row r="899">
          <cell r="B899" t="str">
            <v>REX-NE-001ST</v>
          </cell>
          <cell r="C899" t="str">
            <v>ESP</v>
          </cell>
          <cell r="D899">
            <v>44504</v>
          </cell>
          <cell r="E899">
            <v>0.27777777777777779</v>
          </cell>
          <cell r="F899">
            <v>4.4000000000000003E-3</v>
          </cell>
          <cell r="G899"/>
          <cell r="H899">
            <v>6.8999999999999999E-3</v>
          </cell>
          <cell r="I899">
            <v>7.9000000000000008E-3</v>
          </cell>
          <cell r="J899">
            <v>8.0999999999999996E-3</v>
          </cell>
        </row>
        <row r="900">
          <cell r="B900" t="str">
            <v>REX-NE-05ST</v>
          </cell>
          <cell r="C900" t="str">
            <v>ESP</v>
          </cell>
          <cell r="D900">
            <v>44504</v>
          </cell>
          <cell r="E900">
            <v>0.28333333333333333</v>
          </cell>
          <cell r="F900">
            <v>3.0000000000000001E-3</v>
          </cell>
          <cell r="G900"/>
          <cell r="H900">
            <v>1.01E-2</v>
          </cell>
          <cell r="I900">
            <v>1.9900000000000001E-2</v>
          </cell>
          <cell r="J900">
            <v>1.26E-2</v>
          </cell>
        </row>
        <row r="901">
          <cell r="B901" t="str">
            <v>REX-NE-004</v>
          </cell>
          <cell r="C901" t="str">
            <v>ESP</v>
          </cell>
          <cell r="D901">
            <v>44506</v>
          </cell>
          <cell r="E901">
            <v>0.28819444444444448</v>
          </cell>
          <cell r="F901">
            <v>5.7000000000000002E-3</v>
          </cell>
          <cell r="G901"/>
          <cell r="H901">
            <v>8.5000000000000006E-3</v>
          </cell>
          <cell r="I901">
            <v>1.34E-2</v>
          </cell>
          <cell r="J901">
            <v>7.1999999999999998E-3</v>
          </cell>
        </row>
        <row r="902">
          <cell r="B902" t="str">
            <v>REX-NE-05ST</v>
          </cell>
          <cell r="C902" t="str">
            <v>ESP</v>
          </cell>
          <cell r="D902">
            <v>44506</v>
          </cell>
          <cell r="E902">
            <v>0.29166666666666669</v>
          </cell>
          <cell r="F902">
            <v>2E-3</v>
          </cell>
          <cell r="G902"/>
          <cell r="H902">
            <v>2.2000000000000001E-3</v>
          </cell>
          <cell r="I902">
            <v>5.1000000000000004E-3</v>
          </cell>
          <cell r="J902">
            <v>8.2000000000000007E-3</v>
          </cell>
        </row>
        <row r="903">
          <cell r="B903" t="str">
            <v>REX-NE-004</v>
          </cell>
          <cell r="C903" t="str">
            <v>ESP</v>
          </cell>
          <cell r="D903">
            <v>44508</v>
          </cell>
          <cell r="E903">
            <v>0.28819444444444448</v>
          </cell>
          <cell r="F903">
            <v>9.7000000000000003E-3</v>
          </cell>
          <cell r="G903"/>
          <cell r="H903">
            <v>8.0000000000000002E-3</v>
          </cell>
          <cell r="I903">
            <v>2.24E-2</v>
          </cell>
          <cell r="J903">
            <v>1.01E-2</v>
          </cell>
        </row>
        <row r="904">
          <cell r="B904" t="str">
            <v>REX-NE-05ST</v>
          </cell>
          <cell r="C904" t="str">
            <v>ESP</v>
          </cell>
          <cell r="D904">
            <v>44508</v>
          </cell>
          <cell r="E904">
            <v>0.2951388888888889</v>
          </cell>
          <cell r="F904">
            <v>1.6999999999999999E-3</v>
          </cell>
          <cell r="G904"/>
          <cell r="H904">
            <v>3.0000000000000001E-3</v>
          </cell>
          <cell r="I904">
            <v>8.0999999999999996E-3</v>
          </cell>
          <cell r="J904">
            <v>6.1000000000000004E-3</v>
          </cell>
        </row>
        <row r="905">
          <cell r="B905" t="str">
            <v>REX-NE-003</v>
          </cell>
          <cell r="C905" t="str">
            <v>ESP</v>
          </cell>
          <cell r="D905">
            <v>44510</v>
          </cell>
          <cell r="E905">
            <v>0.28958333333333336</v>
          </cell>
          <cell r="F905">
            <v>3.7000000000000002E-3</v>
          </cell>
          <cell r="G905"/>
          <cell r="H905">
            <v>9.2999999999999992E-3</v>
          </cell>
          <cell r="I905">
            <v>8.8599999999999998E-2</v>
          </cell>
          <cell r="J905">
            <v>0.14230000000000001</v>
          </cell>
        </row>
        <row r="906">
          <cell r="B906" t="str">
            <v>REX-NE-05ST</v>
          </cell>
          <cell r="C906" t="str">
            <v>ESP</v>
          </cell>
          <cell r="D906">
            <v>44510</v>
          </cell>
          <cell r="E906">
            <v>0.29166666666666669</v>
          </cell>
          <cell r="F906">
            <v>1.5E-3</v>
          </cell>
          <cell r="G906"/>
          <cell r="H906">
            <v>3.5000000000000001E-3</v>
          </cell>
          <cell r="I906">
            <v>1.0999999999999999E-2</v>
          </cell>
          <cell r="J906">
            <v>8.3000000000000001E-3</v>
          </cell>
        </row>
        <row r="907">
          <cell r="B907" t="str">
            <v>REX NE-04</v>
          </cell>
          <cell r="C907" t="str">
            <v>ESP</v>
          </cell>
          <cell r="D907">
            <v>44513</v>
          </cell>
          <cell r="E907">
            <v>0.29097222222222224</v>
          </cell>
          <cell r="F907">
            <v>3.5999999999999999E-3</v>
          </cell>
          <cell r="G907"/>
          <cell r="H907">
            <v>4.8999999999999998E-3</v>
          </cell>
          <cell r="I907">
            <v>1.9300000000000001E-2</v>
          </cell>
          <cell r="J907">
            <v>8.8999999999999999E-3</v>
          </cell>
        </row>
        <row r="908">
          <cell r="B908" t="str">
            <v>RO B</v>
          </cell>
          <cell r="C908" t="str">
            <v>ESP</v>
          </cell>
          <cell r="D908">
            <v>44517</v>
          </cell>
          <cell r="E908">
            <v>0.3430555555555555</v>
          </cell>
          <cell r="F908">
            <v>8.2000000000000007E-3</v>
          </cell>
          <cell r="G908"/>
          <cell r="H908">
            <v>0.30780000000000002</v>
          </cell>
          <cell r="I908">
            <v>0.93130000000000002</v>
          </cell>
          <cell r="J908">
            <v>0.1638</v>
          </cell>
        </row>
        <row r="909">
          <cell r="B909" t="str">
            <v>RO B</v>
          </cell>
          <cell r="C909" t="str">
            <v>ESP</v>
          </cell>
          <cell r="D909">
            <v>44518</v>
          </cell>
          <cell r="E909">
            <v>0.32430555555555557</v>
          </cell>
          <cell r="F909">
            <v>7.0000000000000001E-3</v>
          </cell>
          <cell r="G909"/>
          <cell r="H909">
            <v>0.34989999999999999</v>
          </cell>
          <cell r="I909">
            <v>1.0199</v>
          </cell>
          <cell r="J909">
            <v>0.1605</v>
          </cell>
        </row>
        <row r="910">
          <cell r="B910" t="str">
            <v>REX NE-04</v>
          </cell>
          <cell r="C910" t="str">
            <v>ESP</v>
          </cell>
          <cell r="D910">
            <v>44518</v>
          </cell>
          <cell r="E910">
            <v>0.4145833333333333</v>
          </cell>
          <cell r="F910">
            <v>3.04E-2</v>
          </cell>
          <cell r="G910"/>
          <cell r="H910">
            <v>6.5299999999999997E-2</v>
          </cell>
          <cell r="I910">
            <v>5.9200000000000003E-2</v>
          </cell>
          <cell r="J910">
            <v>1.47E-2</v>
          </cell>
        </row>
        <row r="911">
          <cell r="B911" t="str">
            <v>REX NE-05ST</v>
          </cell>
          <cell r="C911" t="str">
            <v>ESP</v>
          </cell>
          <cell r="D911">
            <v>44522</v>
          </cell>
          <cell r="E911">
            <v>0.39583333333333331</v>
          </cell>
          <cell r="F911">
            <v>1.2E-2</v>
          </cell>
          <cell r="G911"/>
          <cell r="H911">
            <v>3.95E-2</v>
          </cell>
          <cell r="I911">
            <v>5.9400000000000001E-2</v>
          </cell>
          <cell r="J911">
            <v>1.4800000000000001E-2</v>
          </cell>
        </row>
        <row r="912">
          <cell r="B912" t="str">
            <v>REX NE-04</v>
          </cell>
          <cell r="C912" t="str">
            <v>ESP</v>
          </cell>
          <cell r="D912">
            <v>44522</v>
          </cell>
          <cell r="E912">
            <v>0.38541666666666669</v>
          </cell>
          <cell r="F912">
            <v>1.46E-2</v>
          </cell>
          <cell r="G912"/>
          <cell r="H912">
            <v>3.4799999999999998E-2</v>
          </cell>
          <cell r="I912">
            <v>3.4700000000000002E-2</v>
          </cell>
          <cell r="J912">
            <v>9.7000000000000003E-3</v>
          </cell>
        </row>
        <row r="913">
          <cell r="B913" t="str">
            <v>REX NE-05ST</v>
          </cell>
          <cell r="C913" t="str">
            <v>ESP</v>
          </cell>
          <cell r="D913">
            <v>44523</v>
          </cell>
          <cell r="E913">
            <v>0.27361111111111108</v>
          </cell>
          <cell r="F913">
            <v>3.8999999999999998E-3</v>
          </cell>
          <cell r="G913"/>
          <cell r="H913">
            <v>8.0000000000000002E-3</v>
          </cell>
          <cell r="I913">
            <v>2.3400000000000001E-2</v>
          </cell>
          <cell r="J913">
            <v>9.2999999999999992E-3</v>
          </cell>
        </row>
        <row r="914">
          <cell r="B914" t="str">
            <v>REX NE-04</v>
          </cell>
          <cell r="C914" t="str">
            <v>ESP</v>
          </cell>
          <cell r="D914">
            <v>44523</v>
          </cell>
          <cell r="E914">
            <v>0.28194444444444444</v>
          </cell>
          <cell r="F914">
            <v>3.8999999999999998E-3</v>
          </cell>
          <cell r="G914"/>
          <cell r="H914">
            <v>4.1999999999999997E-3</v>
          </cell>
          <cell r="I914">
            <v>1.2699999999999999E-2</v>
          </cell>
          <cell r="J914">
            <v>6.4999999999999997E-3</v>
          </cell>
        </row>
        <row r="915">
          <cell r="B915" t="str">
            <v>LY 015</v>
          </cell>
          <cell r="C915" t="str">
            <v>ESP</v>
          </cell>
          <cell r="D915">
            <v>44524</v>
          </cell>
          <cell r="E915">
            <v>0.3840277777777778</v>
          </cell>
          <cell r="F915">
            <v>0.13400000000000001</v>
          </cell>
          <cell r="H915">
            <v>1.5082</v>
          </cell>
          <cell r="I915">
            <v>1.8424</v>
          </cell>
          <cell r="J915">
            <v>0.2505</v>
          </cell>
        </row>
        <row r="916">
          <cell r="B916" t="str">
            <v>LY-226</v>
          </cell>
          <cell r="C916" t="str">
            <v>ESP</v>
          </cell>
          <cell r="D916">
            <v>44524</v>
          </cell>
          <cell r="E916">
            <v>0.60138888888888886</v>
          </cell>
          <cell r="F916">
            <v>1.4500000000000001E-2</v>
          </cell>
          <cell r="H916">
            <v>3.9399999999999998E-2</v>
          </cell>
          <cell r="I916">
            <v>6.0100000000000001E-2</v>
          </cell>
          <cell r="J916">
            <v>2.0500000000000001E-2</v>
          </cell>
        </row>
        <row r="917">
          <cell r="B917" t="str">
            <v>LY-219</v>
          </cell>
          <cell r="C917" t="str">
            <v>ESP</v>
          </cell>
          <cell r="D917">
            <v>44525</v>
          </cell>
          <cell r="E917">
            <v>0.30763888888888891</v>
          </cell>
          <cell r="F917">
            <v>1.3299999999999999E-2</v>
          </cell>
          <cell r="H917">
            <v>6.3399999999999998E-2</v>
          </cell>
          <cell r="I917">
            <v>9.64E-2</v>
          </cell>
          <cell r="J917">
            <v>8.6999999999999994E-3</v>
          </cell>
        </row>
        <row r="918">
          <cell r="B918" t="str">
            <v>LY-231</v>
          </cell>
          <cell r="C918" t="str">
            <v>ESP</v>
          </cell>
          <cell r="D918">
            <v>44525</v>
          </cell>
          <cell r="E918">
            <v>0.57986111111111105</v>
          </cell>
          <cell r="F918">
            <v>1.37E-2</v>
          </cell>
          <cell r="G918"/>
          <cell r="H918">
            <v>6.6799999999999998E-2</v>
          </cell>
          <cell r="I918">
            <v>8.6800000000000002E-2</v>
          </cell>
          <cell r="J918">
            <v>1.6199999999999999E-2</v>
          </cell>
        </row>
        <row r="919">
          <cell r="B919" t="str">
            <v>REX NE-05ST</v>
          </cell>
          <cell r="C919" t="str">
            <v>ESP</v>
          </cell>
          <cell r="D919">
            <v>44524</v>
          </cell>
          <cell r="E919">
            <v>0.28263888888888888</v>
          </cell>
          <cell r="F919">
            <v>3.3999999999999998E-3</v>
          </cell>
          <cell r="G919"/>
          <cell r="H919">
            <v>7.9000000000000008E-3</v>
          </cell>
          <cell r="I919">
            <v>9.1999999999999998E-3</v>
          </cell>
          <cell r="J919">
            <v>7.3000000000000001E-3</v>
          </cell>
        </row>
        <row r="920">
          <cell r="B920" t="str">
            <v>LY-012</v>
          </cell>
          <cell r="C920" t="str">
            <v>ESP</v>
          </cell>
          <cell r="D920">
            <v>44526</v>
          </cell>
          <cell r="E920">
            <v>0.38125000000000003</v>
          </cell>
          <cell r="F920">
            <v>7.6999999999999999E-2</v>
          </cell>
          <cell r="G920"/>
          <cell r="H920">
            <v>7.6200000000000004E-2</v>
          </cell>
          <cell r="I920">
            <v>0.17910000000000001</v>
          </cell>
          <cell r="J920">
            <v>5.5899999999999998E-2</v>
          </cell>
        </row>
        <row r="921">
          <cell r="B921" t="str">
            <v>LY-263</v>
          </cell>
          <cell r="C921" t="str">
            <v>ESP</v>
          </cell>
          <cell r="D921">
            <v>44526</v>
          </cell>
          <cell r="E921">
            <v>0.60416666666666663</v>
          </cell>
          <cell r="F921">
            <v>6.4000000000000003E-3</v>
          </cell>
          <cell r="G921"/>
          <cell r="H921">
            <v>8.2000000000000007E-3</v>
          </cell>
          <cell r="I921">
            <v>2.6800000000000001E-2</v>
          </cell>
          <cell r="J921">
            <v>1.3599999999999999E-2</v>
          </cell>
        </row>
        <row r="922">
          <cell r="B922" t="str">
            <v>REX NE-05ST</v>
          </cell>
          <cell r="C922" t="str">
            <v>ESP</v>
          </cell>
          <cell r="D922">
            <v>44526</v>
          </cell>
          <cell r="E922">
            <v>0.27777777777777779</v>
          </cell>
          <cell r="F922">
            <v>9.4999999999999998E-3</v>
          </cell>
          <cell r="G922"/>
          <cell r="H922">
            <v>1.1900000000000001E-2</v>
          </cell>
          <cell r="I922">
            <v>1.77E-2</v>
          </cell>
          <cell r="J922">
            <v>8.8000000000000005E-3</v>
          </cell>
        </row>
        <row r="923">
          <cell r="B923" t="str">
            <v>MN-29</v>
          </cell>
          <cell r="C923" t="str">
            <v>ESP</v>
          </cell>
          <cell r="D923">
            <v>44529</v>
          </cell>
          <cell r="E923">
            <v>0.37916666666666665</v>
          </cell>
          <cell r="F923">
            <v>1.49E-2</v>
          </cell>
          <cell r="G923"/>
          <cell r="H923">
            <v>0.22770000000000001</v>
          </cell>
          <cell r="I923">
            <v>0.70820000000000005</v>
          </cell>
          <cell r="J923">
            <v>0.1033</v>
          </cell>
        </row>
        <row r="924">
          <cell r="B924" t="str">
            <v>CY-47ST</v>
          </cell>
          <cell r="C924" t="str">
            <v>ESP</v>
          </cell>
          <cell r="D924">
            <v>44529</v>
          </cell>
          <cell r="E924">
            <v>0.6069444444444444</v>
          </cell>
          <cell r="F924">
            <v>2.8999999999999998E-3</v>
          </cell>
          <cell r="G924"/>
          <cell r="H924">
            <v>2.4299999999999999E-2</v>
          </cell>
          <cell r="I924">
            <v>2.9899999999999999E-2</v>
          </cell>
          <cell r="J924">
            <v>0.01</v>
          </cell>
        </row>
        <row r="925">
          <cell r="B925" t="str">
            <v>CL-35</v>
          </cell>
          <cell r="C925" t="str">
            <v>ESP</v>
          </cell>
          <cell r="D925">
            <v>44530</v>
          </cell>
          <cell r="E925">
            <v>0.33124999999999999</v>
          </cell>
          <cell r="F925">
            <v>1.3100000000000001E-2</v>
          </cell>
          <cell r="G925"/>
          <cell r="H925">
            <v>4.0599999999999997E-2</v>
          </cell>
          <cell r="I925">
            <v>7.0199999999999999E-2</v>
          </cell>
          <cell r="J925">
            <v>2.1999999999999999E-2</v>
          </cell>
        </row>
        <row r="926">
          <cell r="B926" t="str">
            <v>REX NE-05ST</v>
          </cell>
          <cell r="C926" t="str">
            <v>ESP</v>
          </cell>
          <cell r="D926">
            <v>44529</v>
          </cell>
          <cell r="E926">
            <v>0.2951388888888889</v>
          </cell>
          <cell r="F926">
            <v>1.2200000000000001E-2</v>
          </cell>
          <cell r="G926"/>
          <cell r="H926">
            <v>2.3300000000000001E-2</v>
          </cell>
          <cell r="I926">
            <v>3.3500000000000002E-2</v>
          </cell>
          <cell r="J926">
            <v>7.9000000000000008E-3</v>
          </cell>
        </row>
        <row r="927">
          <cell r="B927" t="str">
            <v>LY-070</v>
          </cell>
          <cell r="C927" t="str">
            <v>ESP</v>
          </cell>
          <cell r="D927">
            <v>44530</v>
          </cell>
          <cell r="E927">
            <v>0.59722222222222221</v>
          </cell>
          <cell r="F927">
            <v>8.5000000000000006E-3</v>
          </cell>
          <cell r="G927"/>
          <cell r="H927">
            <v>1.3899999999999999E-2</v>
          </cell>
          <cell r="I927">
            <v>5.2699999999999997E-2</v>
          </cell>
          <cell r="J927">
            <v>4.1500000000000002E-2</v>
          </cell>
        </row>
        <row r="928">
          <cell r="B928" t="str">
            <v>LY-258</v>
          </cell>
          <cell r="C928" t="str">
            <v>ESP</v>
          </cell>
          <cell r="D928">
            <v>44531</v>
          </cell>
          <cell r="E928">
            <v>0.37847222222222227</v>
          </cell>
          <cell r="F928">
            <v>6.7999999999999996E-3</v>
          </cell>
          <cell r="G928"/>
          <cell r="H928">
            <v>1.6400000000000001E-2</v>
          </cell>
          <cell r="I928">
            <v>2.1000000000000001E-2</v>
          </cell>
          <cell r="J928">
            <v>1.84E-2</v>
          </cell>
        </row>
        <row r="929">
          <cell r="B929" t="str">
            <v>LY-027</v>
          </cell>
          <cell r="C929" t="str">
            <v>ESP</v>
          </cell>
          <cell r="D929">
            <v>44531</v>
          </cell>
          <cell r="E929">
            <v>0.59930555555555554</v>
          </cell>
          <cell r="F929">
            <v>3.1600000000000003E-2</v>
          </cell>
          <cell r="G929"/>
          <cell r="H929">
            <v>2.47E-2</v>
          </cell>
          <cell r="I929">
            <v>0.14299999999999999</v>
          </cell>
          <cell r="J929">
            <v>5.6000000000000001E-2</v>
          </cell>
        </row>
        <row r="930">
          <cell r="B930" t="str">
            <v>LY-143</v>
          </cell>
          <cell r="C930" t="str">
            <v>ESP</v>
          </cell>
          <cell r="D930">
            <v>44532</v>
          </cell>
          <cell r="E930">
            <v>0.32708333333333334</v>
          </cell>
          <cell r="F930">
            <v>8.2000000000000007E-3</v>
          </cell>
          <cell r="G930"/>
          <cell r="H930">
            <v>1.84E-2</v>
          </cell>
          <cell r="I930">
            <v>4.1200000000000001E-2</v>
          </cell>
          <cell r="J930">
            <v>1.7500000000000002E-2</v>
          </cell>
        </row>
        <row r="931">
          <cell r="B931" t="str">
            <v>REX NE-05ST</v>
          </cell>
          <cell r="C931" t="str">
            <v>ESP</v>
          </cell>
          <cell r="D931">
            <v>44531</v>
          </cell>
          <cell r="E931">
            <v>0.29166666666666669</v>
          </cell>
          <cell r="F931">
            <v>9.1999999999999998E-3</v>
          </cell>
          <cell r="G931"/>
          <cell r="H931">
            <v>8.0000000000000002E-3</v>
          </cell>
          <cell r="I931">
            <v>1.0800000000000001E-2</v>
          </cell>
          <cell r="J931">
            <v>6.8999999999999999E-3</v>
          </cell>
        </row>
        <row r="932">
          <cell r="B932" t="str">
            <v>LY-156</v>
          </cell>
          <cell r="C932" t="str">
            <v>ESP</v>
          </cell>
          <cell r="D932">
            <v>44532</v>
          </cell>
          <cell r="E932">
            <v>0.58263888888888882</v>
          </cell>
          <cell r="F932">
            <v>4.2500000000000003E-2</v>
          </cell>
          <cell r="G932"/>
          <cell r="H932">
            <v>0.37990000000000002</v>
          </cell>
          <cell r="I932">
            <v>0.30220000000000002</v>
          </cell>
          <cell r="J932">
            <v>5.6500000000000002E-2</v>
          </cell>
        </row>
        <row r="933">
          <cell r="B933" t="str">
            <v>LY-287</v>
          </cell>
          <cell r="C933" t="str">
            <v>ESP</v>
          </cell>
          <cell r="D933">
            <v>44533</v>
          </cell>
          <cell r="E933">
            <v>0.37222222222222223</v>
          </cell>
          <cell r="F933">
            <v>6.4000000000000003E-3</v>
          </cell>
          <cell r="G933"/>
          <cell r="H933">
            <v>2.5700000000000001E-2</v>
          </cell>
          <cell r="I933">
            <v>1.14E-2</v>
          </cell>
          <cell r="J933">
            <v>8.5000000000000006E-3</v>
          </cell>
        </row>
        <row r="934">
          <cell r="B934" t="str">
            <v>LY-112</v>
          </cell>
          <cell r="C934" t="str">
            <v>ESP</v>
          </cell>
          <cell r="D934">
            <v>44533</v>
          </cell>
          <cell r="E934">
            <v>0.58680555555555558</v>
          </cell>
          <cell r="F934">
            <v>1.8499999999999999E-2</v>
          </cell>
          <cell r="H934">
            <v>8.1199999999999994E-2</v>
          </cell>
          <cell r="I934">
            <v>9.7900000000000001E-2</v>
          </cell>
          <cell r="J934">
            <v>2.4899999999999999E-2</v>
          </cell>
        </row>
        <row r="935">
          <cell r="B935" t="str">
            <v>REX NE-05ST</v>
          </cell>
          <cell r="C935" t="str">
            <v>ESP</v>
          </cell>
          <cell r="D935">
            <v>44533</v>
          </cell>
          <cell r="E935">
            <v>0.28472222222222221</v>
          </cell>
          <cell r="F935">
            <v>4.3E-3</v>
          </cell>
          <cell r="H935">
            <v>8.3999999999999995E-3</v>
          </cell>
          <cell r="I935">
            <v>1.8100000000000002E-2</v>
          </cell>
          <cell r="J935">
            <v>1.3899999999999999E-2</v>
          </cell>
        </row>
        <row r="936">
          <cell r="B936" t="str">
            <v>REX NE-06</v>
          </cell>
          <cell r="C936" t="str">
            <v>ESP</v>
          </cell>
          <cell r="D936">
            <v>44539</v>
          </cell>
          <cell r="E936">
            <v>0.57291666666666663</v>
          </cell>
          <cell r="F936">
            <v>1.24E-2</v>
          </cell>
          <cell r="G936"/>
          <cell r="H936">
            <v>6.4000000000000003E-3</v>
          </cell>
          <cell r="I936">
            <v>1.84E-2</v>
          </cell>
          <cell r="J936">
            <v>0.27739999999999998</v>
          </cell>
        </row>
        <row r="937">
          <cell r="B937" t="str">
            <v>REX NE-05ST</v>
          </cell>
          <cell r="C937" t="str">
            <v>ESP</v>
          </cell>
          <cell r="D937">
            <v>44539</v>
          </cell>
          <cell r="E937">
            <v>0.28125</v>
          </cell>
          <cell r="F937">
            <v>3.0000000000000001E-3</v>
          </cell>
          <cell r="H937">
            <v>6.1999999999999998E-3</v>
          </cell>
          <cell r="I937">
            <v>1.2999999999999999E-2</v>
          </cell>
          <cell r="J937">
            <v>9.4000000000000004E-3</v>
          </cell>
        </row>
        <row r="938">
          <cell r="B938" t="str">
            <v>REX NE-06</v>
          </cell>
          <cell r="C938" t="str">
            <v>ESP</v>
          </cell>
          <cell r="D938">
            <v>44540</v>
          </cell>
          <cell r="E938">
            <v>0.57638888888888895</v>
          </cell>
          <cell r="F938">
            <v>3.8E-3</v>
          </cell>
          <cell r="H938">
            <v>6.7999999999999996E-3</v>
          </cell>
          <cell r="I938">
            <v>1.7100000000000001E-2</v>
          </cell>
          <cell r="J938">
            <v>2.0299999999999999E-2</v>
          </cell>
        </row>
        <row r="939">
          <cell r="B939" t="str">
            <v>REX NE-05ST</v>
          </cell>
          <cell r="C939" t="str">
            <v>ESP</v>
          </cell>
          <cell r="D939">
            <v>44541</v>
          </cell>
          <cell r="E939">
            <v>0.28125</v>
          </cell>
          <cell r="F939">
            <v>2.3199999999999998E-2</v>
          </cell>
          <cell r="H939">
            <v>4.2900000000000001E-2</v>
          </cell>
          <cell r="I939">
            <v>3.15E-2</v>
          </cell>
          <cell r="J939">
            <v>2.0199999999999999E-2</v>
          </cell>
        </row>
        <row r="940">
          <cell r="B940" t="str">
            <v>CO C-03ST</v>
          </cell>
          <cell r="C940" t="str">
            <v>ESP</v>
          </cell>
          <cell r="D940">
            <v>44544</v>
          </cell>
          <cell r="E940">
            <v>0.33124999999999999</v>
          </cell>
          <cell r="F940">
            <v>4.4999999999999998E-2</v>
          </cell>
          <cell r="H940">
            <v>6.6500000000000004E-2</v>
          </cell>
          <cell r="I940">
            <v>3.2800000000000003E-2</v>
          </cell>
          <cell r="J940">
            <v>7.4000000000000003E-3</v>
          </cell>
        </row>
        <row r="941">
          <cell r="B941" t="str">
            <v>CO C-03ST</v>
          </cell>
          <cell r="C941" t="str">
            <v>ESP</v>
          </cell>
          <cell r="D941">
            <v>44545</v>
          </cell>
          <cell r="E941">
            <v>0.28125</v>
          </cell>
          <cell r="F941">
            <v>1.61E-2</v>
          </cell>
          <cell r="H941">
            <v>2.9899999999999999E-2</v>
          </cell>
          <cell r="I941">
            <v>1.6E-2</v>
          </cell>
          <cell r="J941">
            <v>4.7000000000000002E-3</v>
          </cell>
        </row>
        <row r="942">
          <cell r="B942" t="str">
            <v>REX NE-06</v>
          </cell>
          <cell r="C942" t="str">
            <v>ESP</v>
          </cell>
          <cell r="D942">
            <v>44544</v>
          </cell>
          <cell r="E942">
            <v>0.48958333333333331</v>
          </cell>
          <cell r="F942">
            <v>3.8999999999999998E-3</v>
          </cell>
          <cell r="H942">
            <v>6.7000000000000002E-3</v>
          </cell>
          <cell r="I942">
            <v>7.3000000000000001E-3</v>
          </cell>
          <cell r="J942">
            <v>1.24E-2</v>
          </cell>
        </row>
        <row r="943">
          <cell r="B943" t="str">
            <v>REX-NE-006</v>
          </cell>
          <cell r="C943" t="str">
            <v>ESP</v>
          </cell>
          <cell r="D943">
            <v>44546</v>
          </cell>
          <cell r="E943">
            <v>0.4201388888888889</v>
          </cell>
          <cell r="F943">
            <v>2.1100000000000001E-2</v>
          </cell>
          <cell r="G943"/>
          <cell r="H943">
            <v>2.8199999999999999E-2</v>
          </cell>
          <cell r="I943">
            <v>2.47E-2</v>
          </cell>
          <cell r="J943">
            <v>2.0500000000000001E-2</v>
          </cell>
        </row>
        <row r="944">
          <cell r="B944" t="str">
            <v>REX-NE-006</v>
          </cell>
          <cell r="C944" t="str">
            <v>ESP</v>
          </cell>
          <cell r="D944">
            <v>44547</v>
          </cell>
          <cell r="E944">
            <v>0.58680555555555558</v>
          </cell>
          <cell r="F944">
            <v>7.7999999999999996E-3</v>
          </cell>
          <cell r="G944"/>
          <cell r="H944">
            <v>6.1000000000000004E-3</v>
          </cell>
          <cell r="I944">
            <v>1.24E-2</v>
          </cell>
          <cell r="J944">
            <v>4.3099999999999999E-2</v>
          </cell>
        </row>
        <row r="945">
          <cell r="B945" t="str">
            <v>REX-NE-006</v>
          </cell>
          <cell r="C945" t="str">
            <v>ESP</v>
          </cell>
          <cell r="D945">
            <v>44548</v>
          </cell>
          <cell r="E945">
            <v>0.47569444444444442</v>
          </cell>
          <cell r="F945">
            <v>4.4999999999999997E-3</v>
          </cell>
          <cell r="G945"/>
          <cell r="H945">
            <v>8.8000000000000005E-3</v>
          </cell>
          <cell r="I945">
            <v>8.0000000000000002E-3</v>
          </cell>
          <cell r="J945">
            <v>6.5699999999999995E-2</v>
          </cell>
        </row>
        <row r="946">
          <cell r="B946" t="str">
            <v>CO C-003ST</v>
          </cell>
          <cell r="C946" t="str">
            <v>ESP</v>
          </cell>
          <cell r="D946">
            <v>44546</v>
          </cell>
          <cell r="E946">
            <v>0.28819444444444448</v>
          </cell>
          <cell r="F946">
            <v>1.5699999999999999E-2</v>
          </cell>
          <cell r="G946"/>
          <cell r="H946">
            <v>2.5999999999999999E-2</v>
          </cell>
          <cell r="I946">
            <v>3.3500000000000002E-2</v>
          </cell>
          <cell r="J946">
            <v>1.23E-2</v>
          </cell>
        </row>
        <row r="947">
          <cell r="B947" t="str">
            <v>REX-NE-005ST</v>
          </cell>
          <cell r="C947" t="str">
            <v>ESP</v>
          </cell>
          <cell r="D947">
            <v>44551</v>
          </cell>
          <cell r="E947">
            <v>0.3298611111111111</v>
          </cell>
          <cell r="F947">
            <v>8.5000000000000006E-3</v>
          </cell>
          <cell r="G947"/>
          <cell r="H947">
            <v>2.1600000000000001E-2</v>
          </cell>
          <cell r="I947">
            <v>3.39E-2</v>
          </cell>
          <cell r="J947">
            <v>2.0400000000000001E-2</v>
          </cell>
        </row>
        <row r="948">
          <cell r="B948" t="str">
            <v>REX-NE-006</v>
          </cell>
          <cell r="C948" t="str">
            <v>ESP</v>
          </cell>
          <cell r="D948">
            <v>44550</v>
          </cell>
          <cell r="E948">
            <v>0.4861111111111111</v>
          </cell>
          <cell r="F948">
            <v>1.8700000000000001E-2</v>
          </cell>
          <cell r="G948"/>
          <cell r="H948">
            <v>4.8099999999999997E-2</v>
          </cell>
          <cell r="I948">
            <v>3.4000000000000002E-2</v>
          </cell>
          <cell r="J948">
            <v>2.0899999999999998E-2</v>
          </cell>
        </row>
        <row r="949">
          <cell r="B949" t="str">
            <v>REX-NE-006</v>
          </cell>
          <cell r="C949" t="str">
            <v>ESP</v>
          </cell>
          <cell r="D949">
            <v>44552</v>
          </cell>
          <cell r="E949">
            <v>0.42708333333333331</v>
          </cell>
          <cell r="F949">
            <v>1.04E-2</v>
          </cell>
          <cell r="G949"/>
          <cell r="H949">
            <v>1.7999999999999999E-2</v>
          </cell>
          <cell r="I949">
            <v>1.2699999999999999E-2</v>
          </cell>
          <cell r="J949">
            <v>1.44E-2</v>
          </cell>
        </row>
        <row r="950">
          <cell r="B950" t="str">
            <v>REX-NE-005ST</v>
          </cell>
          <cell r="C950" t="str">
            <v>ESP</v>
          </cell>
          <cell r="D950">
            <v>44552</v>
          </cell>
          <cell r="E950">
            <v>0.28125</v>
          </cell>
          <cell r="F950">
            <v>9.4000000000000004E-3</v>
          </cell>
          <cell r="G950"/>
          <cell r="H950">
            <v>8.2000000000000007E-3</v>
          </cell>
          <cell r="I950">
            <v>9.1000000000000004E-3</v>
          </cell>
          <cell r="J950">
            <v>7.6E-3</v>
          </cell>
        </row>
        <row r="951">
          <cell r="B951" t="str">
            <v>REX NE-05ST</v>
          </cell>
          <cell r="C951" t="str">
            <v>ESP</v>
          </cell>
          <cell r="D951">
            <v>44554</v>
          </cell>
          <cell r="E951">
            <v>0.27083333333333331</v>
          </cell>
          <cell r="F951">
            <v>4.7999999999999996E-3</v>
          </cell>
          <cell r="G951"/>
          <cell r="H951">
            <v>4.1999999999999997E-3</v>
          </cell>
          <cell r="I951">
            <v>9.5999999999999992E-3</v>
          </cell>
          <cell r="J951">
            <v>2.7E-2</v>
          </cell>
        </row>
        <row r="952">
          <cell r="B952" t="str">
            <v>REX NE-06</v>
          </cell>
          <cell r="C952" t="str">
            <v>ESP</v>
          </cell>
          <cell r="D952">
            <v>44553</v>
          </cell>
          <cell r="E952">
            <v>0.3888888888888889</v>
          </cell>
          <cell r="F952">
            <v>3.61E-2</v>
          </cell>
          <cell r="G952"/>
          <cell r="H952">
            <v>3.5799999999999998E-2</v>
          </cell>
          <cell r="I952">
            <v>4.24E-2</v>
          </cell>
          <cell r="J952">
            <v>3.2099999999999997E-2</v>
          </cell>
        </row>
        <row r="953">
          <cell r="B953" t="str">
            <v>REX-NE-006</v>
          </cell>
          <cell r="C953" t="str">
            <v>ESP</v>
          </cell>
          <cell r="D953">
            <v>44558</v>
          </cell>
          <cell r="E953">
            <v>0.41319444444444442</v>
          </cell>
          <cell r="F953">
            <v>2.8999999999999998E-3</v>
          </cell>
          <cell r="G953"/>
          <cell r="H953">
            <v>6.0000000000000001E-3</v>
          </cell>
          <cell r="I953">
            <v>8.6999999999999994E-3</v>
          </cell>
          <cell r="J953">
            <v>2.1600000000000001E-2</v>
          </cell>
        </row>
        <row r="954">
          <cell r="B954" t="str">
            <v>REX-NE-005ST</v>
          </cell>
          <cell r="C954" t="str">
            <v>ESP</v>
          </cell>
          <cell r="D954">
            <v>44558</v>
          </cell>
          <cell r="E954">
            <v>0.27083333333333331</v>
          </cell>
          <cell r="F954">
            <v>1E-3</v>
          </cell>
          <cell r="G954"/>
          <cell r="H954">
            <v>8.9999999999999993E-3</v>
          </cell>
          <cell r="I954">
            <v>8.9999999999999993E-3</v>
          </cell>
          <cell r="J954">
            <v>1.7100000000000001E-2</v>
          </cell>
        </row>
        <row r="955">
          <cell r="B955" t="str">
            <v>REX-NE-006</v>
          </cell>
          <cell r="C955" t="str">
            <v>ESP</v>
          </cell>
          <cell r="D955">
            <v>44581</v>
          </cell>
          <cell r="E955">
            <v>0.3923611111111111</v>
          </cell>
          <cell r="F955">
            <v>6.4000000000000003E-3</v>
          </cell>
          <cell r="G955"/>
          <cell r="H955">
            <v>7.0000000000000001E-3</v>
          </cell>
          <cell r="I955">
            <v>1.1299999999999999E-2</v>
          </cell>
          <cell r="J955">
            <v>1.29E-2</v>
          </cell>
        </row>
        <row r="956">
          <cell r="B956" t="str">
            <v>CH-29</v>
          </cell>
          <cell r="C956" t="str">
            <v>ESP</v>
          </cell>
          <cell r="D956">
            <v>44581</v>
          </cell>
          <cell r="E956">
            <v>0.39930555555555558</v>
          </cell>
          <cell r="F956">
            <v>5.3E-3</v>
          </cell>
          <cell r="G956"/>
          <cell r="H956">
            <v>5.7000000000000002E-3</v>
          </cell>
          <cell r="I956">
            <v>1.7100000000000001E-2</v>
          </cell>
          <cell r="J956">
            <v>5.9900000000000002E-2</v>
          </cell>
        </row>
        <row r="957">
          <cell r="B957" t="str">
            <v>REX NE-06</v>
          </cell>
          <cell r="C957" t="str">
            <v>ESP</v>
          </cell>
          <cell r="D957">
            <v>44217</v>
          </cell>
          <cell r="E957">
            <v>0.36805555555555558</v>
          </cell>
          <cell r="F957">
            <v>3.2000000000000002E-3</v>
          </cell>
          <cell r="G957"/>
          <cell r="H957">
            <v>4.8999999999999998E-3</v>
          </cell>
          <cell r="I957">
            <v>5.0000000000000001E-3</v>
          </cell>
          <cell r="J957">
            <v>1.55E-2</v>
          </cell>
        </row>
        <row r="958">
          <cell r="B958" t="str">
            <v>CH-29</v>
          </cell>
          <cell r="C958" t="str">
            <v>ESP</v>
          </cell>
          <cell r="D958">
            <v>44217</v>
          </cell>
          <cell r="E958">
            <v>0.38125000000000003</v>
          </cell>
          <cell r="F958">
            <v>9.4000000000000004E-3</v>
          </cell>
          <cell r="G958"/>
          <cell r="H958">
            <v>8.0000000000000002E-3</v>
          </cell>
          <cell r="I958">
            <v>2.2200000000000001E-2</v>
          </cell>
          <cell r="J958">
            <v>0.13200000000000001</v>
          </cell>
        </row>
        <row r="959">
          <cell r="B959" t="str">
            <v>CH-29</v>
          </cell>
          <cell r="C959" t="str">
            <v>ESP</v>
          </cell>
          <cell r="D959">
            <v>44218</v>
          </cell>
          <cell r="E959">
            <v>0.43472222222222223</v>
          </cell>
          <cell r="F959">
            <v>1.38E-2</v>
          </cell>
          <cell r="G959"/>
          <cell r="H959">
            <v>2.0899999999999998E-2</v>
          </cell>
          <cell r="I959">
            <v>1.6899999999999998E-2</v>
          </cell>
          <cell r="J959">
            <v>7.6499999999999999E-2</v>
          </cell>
        </row>
        <row r="960">
          <cell r="B960" t="str">
            <v>LY-202</v>
          </cell>
          <cell r="C960" t="str">
            <v>ESP</v>
          </cell>
          <cell r="D960">
            <v>44218</v>
          </cell>
          <cell r="E960">
            <v>0.48541666666666666</v>
          </cell>
          <cell r="F960">
            <v>4.7199999999999999E-2</v>
          </cell>
          <cell r="G960"/>
          <cell r="H960">
            <v>4.3700000000000003E-2</v>
          </cell>
          <cell r="I960">
            <v>8.2100000000000006E-2</v>
          </cell>
          <cell r="J960">
            <v>9.7799999999999998E-2</v>
          </cell>
        </row>
        <row r="961">
          <cell r="B961" t="str">
            <v>CH-29</v>
          </cell>
          <cell r="C961" t="str">
            <v>ESP</v>
          </cell>
          <cell r="D961">
            <v>44585</v>
          </cell>
          <cell r="E961">
            <v>0.36805555555555558</v>
          </cell>
          <cell r="F961">
            <v>3.7000000000000002E-3</v>
          </cell>
          <cell r="G961"/>
          <cell r="H961">
            <v>4.5999999999999999E-3</v>
          </cell>
          <cell r="I961">
            <v>1.2200000000000001E-2</v>
          </cell>
          <cell r="J961">
            <v>0.15190000000000001</v>
          </cell>
        </row>
        <row r="962">
          <cell r="B962" t="str">
            <v>LY-158</v>
          </cell>
          <cell r="C962" t="str">
            <v>ESP</v>
          </cell>
          <cell r="D962">
            <v>44585</v>
          </cell>
          <cell r="E962">
            <v>0.44097222222222227</v>
          </cell>
          <cell r="F962">
            <v>3.2199999999999999E-2</v>
          </cell>
          <cell r="G962"/>
          <cell r="H962">
            <v>3.1199999999999999E-2</v>
          </cell>
          <cell r="I962">
            <v>4.6699999999999998E-2</v>
          </cell>
          <cell r="J962">
            <v>3.7400000000000003E-2</v>
          </cell>
        </row>
        <row r="963">
          <cell r="B963" t="str">
            <v>CH-29</v>
          </cell>
          <cell r="C963" t="str">
            <v>ESP</v>
          </cell>
          <cell r="D963">
            <v>44586</v>
          </cell>
          <cell r="E963">
            <v>0.36736111111111108</v>
          </cell>
          <cell r="F963">
            <v>2.18E-2</v>
          </cell>
          <cell r="G963"/>
          <cell r="H963">
            <v>0.1221</v>
          </cell>
          <cell r="I963">
            <v>0.52849999999999997</v>
          </cell>
          <cell r="J963">
            <v>5.8888999999999996</v>
          </cell>
        </row>
        <row r="964">
          <cell r="B964" t="str">
            <v>LY-143</v>
          </cell>
          <cell r="C964" t="str">
            <v>ESP</v>
          </cell>
          <cell r="D964">
            <v>44586</v>
          </cell>
          <cell r="E964">
            <v>0.43055555555555558</v>
          </cell>
          <cell r="F964">
            <v>1.72E-2</v>
          </cell>
          <cell r="G964"/>
          <cell r="H964">
            <v>5.3400000000000003E-2</v>
          </cell>
          <cell r="I964">
            <v>9.64E-2</v>
          </cell>
          <cell r="J964">
            <v>4.7699999999999999E-2</v>
          </cell>
        </row>
        <row r="965">
          <cell r="B965" t="str">
            <v>CH-29</v>
          </cell>
          <cell r="C965" t="str">
            <v>ESP</v>
          </cell>
          <cell r="D965">
            <v>44587</v>
          </cell>
          <cell r="E965">
            <v>0.37222222222222223</v>
          </cell>
          <cell r="F965">
            <v>1.0999999999999999E-2</v>
          </cell>
          <cell r="G965"/>
          <cell r="H965">
            <v>2.2100000000000002E-2</v>
          </cell>
          <cell r="I965">
            <v>5.9499999999999997E-2</v>
          </cell>
          <cell r="J965">
            <v>0.42420000000000002</v>
          </cell>
        </row>
        <row r="966">
          <cell r="B966" t="str">
            <v>CY-41</v>
          </cell>
          <cell r="C966" t="str">
            <v>ESP</v>
          </cell>
          <cell r="D966">
            <v>44587</v>
          </cell>
          <cell r="E966">
            <v>0.43055555555555558</v>
          </cell>
          <cell r="F966">
            <v>2.9499999999999998E-2</v>
          </cell>
          <cell r="G966"/>
          <cell r="H966">
            <v>0.20499999999999999</v>
          </cell>
          <cell r="I966">
            <v>0.85709999999999997</v>
          </cell>
          <cell r="J966">
            <v>1.2397</v>
          </cell>
        </row>
        <row r="967">
          <cell r="B967" t="str">
            <v>CH-29</v>
          </cell>
          <cell r="C967" t="str">
            <v>ESP</v>
          </cell>
          <cell r="D967">
            <v>44588</v>
          </cell>
          <cell r="E967">
            <v>0.36805555555555558</v>
          </cell>
          <cell r="F967">
            <v>7.4999999999999997E-3</v>
          </cell>
          <cell r="G967"/>
          <cell r="H967">
            <v>1.29E-2</v>
          </cell>
          <cell r="I967">
            <v>3.3099999999999997E-2</v>
          </cell>
          <cell r="J967">
            <v>0.38740000000000002</v>
          </cell>
        </row>
        <row r="968">
          <cell r="B968" t="str">
            <v>CY-12</v>
          </cell>
          <cell r="C968" t="str">
            <v>ESP</v>
          </cell>
          <cell r="D968">
            <v>44588</v>
          </cell>
          <cell r="E968">
            <v>0.4201388888888889</v>
          </cell>
          <cell r="F968">
            <v>8.0999999999999996E-3</v>
          </cell>
          <cell r="G968"/>
          <cell r="H968">
            <v>6.3399999999999998E-2</v>
          </cell>
          <cell r="I968">
            <v>0.29430000000000001</v>
          </cell>
          <cell r="J968">
            <v>0.1401</v>
          </cell>
        </row>
        <row r="969">
          <cell r="B969" t="str">
            <v>CY-41</v>
          </cell>
          <cell r="C969" t="str">
            <v>ESP</v>
          </cell>
          <cell r="D969">
            <v>44589</v>
          </cell>
          <cell r="E969">
            <v>0.47222222222222227</v>
          </cell>
          <cell r="F969">
            <v>0.1109</v>
          </cell>
          <cell r="G969"/>
          <cell r="H969">
            <v>0.66969999999999996</v>
          </cell>
          <cell r="I969">
            <v>1.9568000000000001</v>
          </cell>
          <cell r="J969">
            <v>2.8147000000000002</v>
          </cell>
        </row>
        <row r="970">
          <cell r="B970" t="str">
            <v>CY-12</v>
          </cell>
          <cell r="C970" t="str">
            <v>ESP</v>
          </cell>
          <cell r="D970">
            <v>44589</v>
          </cell>
          <cell r="E970">
            <v>0.4826388888888889</v>
          </cell>
          <cell r="F970">
            <v>8.3000000000000001E-3</v>
          </cell>
          <cell r="G970"/>
          <cell r="H970">
            <v>5.2699999999999997E-2</v>
          </cell>
          <cell r="I970">
            <v>0.1812</v>
          </cell>
          <cell r="J970">
            <v>8.7499999999999994E-2</v>
          </cell>
        </row>
        <row r="971">
          <cell r="B971" t="str">
            <v>CY-89</v>
          </cell>
          <cell r="C971" t="str">
            <v>ESP</v>
          </cell>
          <cell r="D971">
            <v>44590</v>
          </cell>
          <cell r="E971">
            <v>0.3611111111111111</v>
          </cell>
          <cell r="F971">
            <v>1.89E-2</v>
          </cell>
          <cell r="G971"/>
          <cell r="H971">
            <v>4.2599999999999999E-2</v>
          </cell>
          <cell r="I971">
            <v>5.6099999999999997E-2</v>
          </cell>
          <cell r="J971">
            <v>0.1031</v>
          </cell>
        </row>
        <row r="972">
          <cell r="B972"/>
          <cell r="C972" t="str">
            <v>MUESTRA #2</v>
          </cell>
          <cell r="D972">
            <v>44592</v>
          </cell>
          <cell r="E972">
            <v>0.38472222222222219</v>
          </cell>
          <cell r="F972">
            <v>1.5299999999999999E-2</v>
          </cell>
          <cell r="G972"/>
          <cell r="H972">
            <v>5.2499999999999998E-2</v>
          </cell>
          <cell r="I972">
            <v>9.5200000000000007E-2</v>
          </cell>
          <cell r="J972">
            <v>5.7599999999999998E-2</v>
          </cell>
        </row>
        <row r="973">
          <cell r="B973" t="str">
            <v>LY-028</v>
          </cell>
          <cell r="C973" t="str">
            <v>ESP</v>
          </cell>
          <cell r="D973">
            <v>44590</v>
          </cell>
          <cell r="E973">
            <v>0.45</v>
          </cell>
          <cell r="F973">
            <v>5.7999999999999996E-3</v>
          </cell>
          <cell r="G973"/>
          <cell r="H973">
            <v>3.8800000000000001E-2</v>
          </cell>
          <cell r="I973">
            <v>4.5999999999999999E-2</v>
          </cell>
          <cell r="J973">
            <v>3.0800000000000001E-2</v>
          </cell>
        </row>
        <row r="974">
          <cell r="B974"/>
          <cell r="C974" t="str">
            <v>MUESTRA #2</v>
          </cell>
          <cell r="D974">
            <v>44592</v>
          </cell>
          <cell r="E974">
            <v>0.35902777777777778</v>
          </cell>
          <cell r="F974">
            <v>1.1999999999999999E-3</v>
          </cell>
          <cell r="G974"/>
          <cell r="H974">
            <v>3.5999999999999999E-3</v>
          </cell>
          <cell r="I974">
            <v>1.43E-2</v>
          </cell>
          <cell r="J974">
            <v>2.0299999999999999E-2</v>
          </cell>
        </row>
        <row r="975">
          <cell r="B975" t="str">
            <v>LY-149</v>
          </cell>
          <cell r="C975" t="str">
            <v>ESP</v>
          </cell>
          <cell r="D975">
            <v>44592</v>
          </cell>
          <cell r="E975">
            <v>0.37291666666666662</v>
          </cell>
          <cell r="F975">
            <v>9.7000000000000003E-3</v>
          </cell>
          <cell r="G975"/>
          <cell r="H975">
            <v>8.2000000000000007E-3</v>
          </cell>
          <cell r="I975">
            <v>1.9699999999999999E-2</v>
          </cell>
          <cell r="J975">
            <v>3.2899999999999999E-2</v>
          </cell>
        </row>
        <row r="976">
          <cell r="B976" t="str">
            <v>CY-54</v>
          </cell>
          <cell r="C976" t="str">
            <v>ESP</v>
          </cell>
          <cell r="D976">
            <v>44592</v>
          </cell>
          <cell r="E976">
            <v>0.39583333333333331</v>
          </cell>
          <cell r="F976">
            <v>6.6E-3</v>
          </cell>
          <cell r="G976"/>
          <cell r="H976">
            <v>2.47E-2</v>
          </cell>
          <cell r="I976">
            <v>3.2800000000000003E-2</v>
          </cell>
          <cell r="J976">
            <v>2.93E-2</v>
          </cell>
        </row>
        <row r="977">
          <cell r="B977" t="str">
            <v>LY-200</v>
          </cell>
          <cell r="C977" t="str">
            <v>ESP</v>
          </cell>
          <cell r="D977">
            <v>44592</v>
          </cell>
          <cell r="E977">
            <v>0.59027777777777779</v>
          </cell>
          <cell r="F977">
            <v>1.03E-2</v>
          </cell>
          <cell r="G977"/>
          <cell r="H977">
            <v>1.18E-2</v>
          </cell>
          <cell r="I977">
            <v>1.3899999999999999E-2</v>
          </cell>
          <cell r="J977">
            <v>2.2700000000000001E-2</v>
          </cell>
        </row>
        <row r="978">
          <cell r="B978" t="str">
            <v>CY-32</v>
          </cell>
          <cell r="C978" t="str">
            <v>ESP</v>
          </cell>
          <cell r="D978">
            <v>44592</v>
          </cell>
          <cell r="E978">
            <v>0.61805555555555558</v>
          </cell>
          <cell r="F978">
            <v>1.5299999999999999E-2</v>
          </cell>
          <cell r="G978"/>
          <cell r="H978">
            <v>4.2700000000000002E-2</v>
          </cell>
          <cell r="I978">
            <v>0.15340000000000001</v>
          </cell>
          <cell r="J978">
            <v>6.6799999999999998E-2</v>
          </cell>
        </row>
        <row r="979">
          <cell r="B979" t="str">
            <v>LY-258</v>
          </cell>
          <cell r="C979" t="str">
            <v>ESP</v>
          </cell>
          <cell r="D979">
            <v>44593</v>
          </cell>
          <cell r="E979">
            <v>0.36527777777777781</v>
          </cell>
          <cell r="F979">
            <v>6.8999999999999999E-3</v>
          </cell>
          <cell r="G979"/>
          <cell r="H979">
            <v>1.6E-2</v>
          </cell>
          <cell r="I979">
            <v>1.17E-2</v>
          </cell>
          <cell r="J979">
            <v>1.4800000000000001E-2</v>
          </cell>
        </row>
        <row r="980">
          <cell r="B980" t="str">
            <v>CY-47ST</v>
          </cell>
          <cell r="C980" t="str">
            <v>ESP</v>
          </cell>
          <cell r="D980">
            <v>44593</v>
          </cell>
          <cell r="E980">
            <v>0.3888888888888889</v>
          </cell>
          <cell r="F980">
            <v>8.3999999999999995E-3</v>
          </cell>
          <cell r="G980"/>
          <cell r="H980">
            <v>1.6E-2</v>
          </cell>
          <cell r="I980">
            <v>3.3099999999999997E-2</v>
          </cell>
          <cell r="J980">
            <v>1.8200000000000001E-2</v>
          </cell>
        </row>
        <row r="981">
          <cell r="B981" t="str">
            <v>MN-29</v>
          </cell>
          <cell r="C981" t="str">
            <v>ESP</v>
          </cell>
          <cell r="D981">
            <v>44593</v>
          </cell>
          <cell r="E981">
            <v>0.58194444444444449</v>
          </cell>
          <cell r="F981">
            <v>6.4999999999999997E-3</v>
          </cell>
          <cell r="G981"/>
          <cell r="H981">
            <v>1.6299999999999999E-2</v>
          </cell>
          <cell r="I981">
            <v>5.21E-2</v>
          </cell>
          <cell r="J981">
            <v>1.7600000000000001E-2</v>
          </cell>
        </row>
        <row r="982">
          <cell r="B982" t="str">
            <v>CL-35</v>
          </cell>
          <cell r="C982" t="str">
            <v>ESP</v>
          </cell>
          <cell r="D982">
            <v>44593</v>
          </cell>
          <cell r="E982">
            <v>0.60555555555555551</v>
          </cell>
          <cell r="F982">
            <v>1.37E-2</v>
          </cell>
          <cell r="G982"/>
          <cell r="H982">
            <v>4.9599999999999998E-2</v>
          </cell>
          <cell r="I982">
            <v>6.5799999999999997E-2</v>
          </cell>
          <cell r="J982">
            <v>1.7100000000000001E-2</v>
          </cell>
        </row>
        <row r="983">
          <cell r="B983" t="str">
            <v>LY-263</v>
          </cell>
          <cell r="C983" t="str">
            <v>ESP</v>
          </cell>
          <cell r="D983">
            <v>44594</v>
          </cell>
          <cell r="E983">
            <v>0.375</v>
          </cell>
          <cell r="F983">
            <v>7.6E-3</v>
          </cell>
          <cell r="G983"/>
          <cell r="H983">
            <v>6.7000000000000002E-3</v>
          </cell>
          <cell r="I983">
            <v>1.7600000000000001E-2</v>
          </cell>
          <cell r="J983">
            <v>1.77E-2</v>
          </cell>
        </row>
        <row r="984">
          <cell r="B984" t="str">
            <v>LY-070</v>
          </cell>
          <cell r="C984" t="str">
            <v>ESP</v>
          </cell>
          <cell r="D984">
            <v>44594</v>
          </cell>
          <cell r="E984">
            <v>0.37916666666666665</v>
          </cell>
          <cell r="F984">
            <v>6.1000000000000004E-3</v>
          </cell>
          <cell r="G984"/>
          <cell r="H984">
            <v>8.3000000000000001E-3</v>
          </cell>
          <cell r="I984">
            <v>2.9600000000000001E-2</v>
          </cell>
          <cell r="J984">
            <v>3.7900000000000003E-2</v>
          </cell>
        </row>
        <row r="985">
          <cell r="B985" t="str">
            <v>LY-027</v>
          </cell>
          <cell r="C985" t="str">
            <v>ESP</v>
          </cell>
          <cell r="D985">
            <v>44594</v>
          </cell>
          <cell r="E985">
            <v>0.59375</v>
          </cell>
          <cell r="F985">
            <v>8.9999999999999993E-3</v>
          </cell>
          <cell r="G985"/>
          <cell r="H985">
            <v>1.14E-2</v>
          </cell>
          <cell r="I985">
            <v>2.0400000000000001E-2</v>
          </cell>
          <cell r="J985">
            <v>4.7000000000000002E-3</v>
          </cell>
        </row>
        <row r="986">
          <cell r="B986" t="str">
            <v>LY-216</v>
          </cell>
          <cell r="C986" t="str">
            <v>ESP</v>
          </cell>
          <cell r="D986">
            <v>44594</v>
          </cell>
          <cell r="E986">
            <v>0.59861111111111109</v>
          </cell>
          <cell r="F986">
            <v>8.0000000000000002E-3</v>
          </cell>
          <cell r="G986"/>
          <cell r="H986">
            <v>1.11E-2</v>
          </cell>
          <cell r="I986">
            <v>4.8800000000000003E-2</v>
          </cell>
          <cell r="J986">
            <v>1.6199999999999999E-2</v>
          </cell>
        </row>
        <row r="987">
          <cell r="B987" t="str">
            <v>MN-06</v>
          </cell>
          <cell r="C987" t="str">
            <v>ESP</v>
          </cell>
          <cell r="D987">
            <v>44595</v>
          </cell>
          <cell r="E987">
            <v>0.37708333333333338</v>
          </cell>
          <cell r="F987">
            <v>3.0800000000000001E-2</v>
          </cell>
          <cell r="G987"/>
          <cell r="H987">
            <v>5.9700000000000003E-2</v>
          </cell>
          <cell r="I987">
            <v>4.36E-2</v>
          </cell>
          <cell r="J987">
            <v>7.6E-3</v>
          </cell>
        </row>
        <row r="988">
          <cell r="B988" t="str">
            <v>MN-55</v>
          </cell>
          <cell r="C988" t="str">
            <v>ESP</v>
          </cell>
          <cell r="D988">
            <v>44595</v>
          </cell>
          <cell r="E988">
            <v>0.38194444444444442</v>
          </cell>
          <cell r="F988">
            <v>5.0000000000000001E-3</v>
          </cell>
          <cell r="G988"/>
          <cell r="H988">
            <v>1.14E-2</v>
          </cell>
          <cell r="I988">
            <v>1.3100000000000001E-2</v>
          </cell>
          <cell r="J988">
            <v>6.6E-3</v>
          </cell>
        </row>
        <row r="989">
          <cell r="B989" t="str">
            <v>MN-56</v>
          </cell>
          <cell r="C989" t="str">
            <v>ESP</v>
          </cell>
          <cell r="D989">
            <v>44595</v>
          </cell>
          <cell r="E989">
            <v>0.59583333333333333</v>
          </cell>
          <cell r="F989">
            <v>3.7000000000000002E-3</v>
          </cell>
          <cell r="G989"/>
          <cell r="H989">
            <v>7.7999999999999996E-3</v>
          </cell>
          <cell r="I989">
            <v>9.2999999999999992E-3</v>
          </cell>
          <cell r="J989">
            <v>8.8000000000000005E-3</v>
          </cell>
        </row>
        <row r="990">
          <cell r="B990" t="str">
            <v>MN-73</v>
          </cell>
          <cell r="C990" t="str">
            <v>ESP</v>
          </cell>
          <cell r="D990">
            <v>44595</v>
          </cell>
          <cell r="E990">
            <v>0.60138888888888886</v>
          </cell>
          <cell r="F990">
            <v>4.5999999999999999E-3</v>
          </cell>
          <cell r="G990"/>
          <cell r="H990">
            <v>1.14E-2</v>
          </cell>
          <cell r="I990">
            <v>2.1299999999999999E-2</v>
          </cell>
          <cell r="J990">
            <v>1.7000000000000001E-2</v>
          </cell>
        </row>
        <row r="991">
          <cell r="B991" t="str">
            <v>MN-79</v>
          </cell>
          <cell r="C991" t="str">
            <v>ESP</v>
          </cell>
          <cell r="D991">
            <v>44596</v>
          </cell>
          <cell r="E991">
            <v>0.34583333333333338</v>
          </cell>
          <cell r="F991">
            <v>3.3999999999999998E-3</v>
          </cell>
          <cell r="G991"/>
          <cell r="H991">
            <v>3.2000000000000002E-3</v>
          </cell>
          <cell r="I991">
            <v>3.5000000000000001E-3</v>
          </cell>
          <cell r="J991">
            <v>4.4000000000000003E-3</v>
          </cell>
        </row>
        <row r="992">
          <cell r="B992" t="str">
            <v>MN-78</v>
          </cell>
          <cell r="C992" t="str">
            <v>ESP</v>
          </cell>
          <cell r="D992">
            <v>44596</v>
          </cell>
          <cell r="E992">
            <v>0.35069444444444442</v>
          </cell>
          <cell r="F992">
            <v>1.7100000000000001E-2</v>
          </cell>
          <cell r="G992"/>
          <cell r="H992">
            <v>5.96E-2</v>
          </cell>
          <cell r="I992">
            <v>0.17419999999999999</v>
          </cell>
          <cell r="J992">
            <v>8.2600000000000007E-2</v>
          </cell>
        </row>
        <row r="993">
          <cell r="B993" t="str">
            <v>MN-83</v>
          </cell>
          <cell r="C993" t="str">
            <v>ESP</v>
          </cell>
          <cell r="D993">
            <v>44596</v>
          </cell>
          <cell r="E993">
            <v>0.57291666666666663</v>
          </cell>
          <cell r="F993">
            <v>1.35E-2</v>
          </cell>
          <cell r="G993"/>
          <cell r="H993">
            <v>1.67E-2</v>
          </cell>
          <cell r="I993">
            <v>3.3500000000000002E-2</v>
          </cell>
          <cell r="J993">
            <v>1.23E-2</v>
          </cell>
        </row>
        <row r="994">
          <cell r="B994" t="str">
            <v>MN-86</v>
          </cell>
          <cell r="C994" t="str">
            <v>ESP</v>
          </cell>
          <cell r="D994">
            <v>44596</v>
          </cell>
          <cell r="E994">
            <v>0.57708333333333328</v>
          </cell>
          <cell r="F994">
            <v>9.1999999999999998E-3</v>
          </cell>
          <cell r="G994"/>
          <cell r="H994">
            <v>6.7999999999999996E-3</v>
          </cell>
          <cell r="I994">
            <v>2.01E-2</v>
          </cell>
          <cell r="J994">
            <v>4.9500000000000002E-2</v>
          </cell>
        </row>
        <row r="995">
          <cell r="B995" t="str">
            <v>CV-007</v>
          </cell>
          <cell r="C995" t="str">
            <v>ESP</v>
          </cell>
          <cell r="D995">
            <v>44603</v>
          </cell>
          <cell r="E995">
            <v>0.39097222222222222</v>
          </cell>
          <cell r="F995">
            <v>0.75509999999999999</v>
          </cell>
          <cell r="G995"/>
          <cell r="H995">
            <v>0.50700000000000001</v>
          </cell>
          <cell r="I995">
            <v>0.38919999999999999</v>
          </cell>
          <cell r="J995">
            <v>0.1032</v>
          </cell>
        </row>
        <row r="996">
          <cell r="B996" t="str">
            <v>MN-92</v>
          </cell>
          <cell r="C996" t="str">
            <v>ESP</v>
          </cell>
          <cell r="D996">
            <v>44603</v>
          </cell>
          <cell r="E996">
            <v>0.41666666666666669</v>
          </cell>
          <cell r="F996">
            <v>2E-3</v>
          </cell>
          <cell r="G996"/>
          <cell r="H996">
            <v>5.1999999999999998E-3</v>
          </cell>
          <cell r="I996">
            <v>1.2500000000000001E-2</v>
          </cell>
          <cell r="J996">
            <v>1.32E-2</v>
          </cell>
        </row>
        <row r="997">
          <cell r="B997" t="str">
            <v>CL-35</v>
          </cell>
          <cell r="C997" t="str">
            <v>ESP</v>
          </cell>
          <cell r="D997">
            <v>44603</v>
          </cell>
          <cell r="E997">
            <v>0.59930555555555554</v>
          </cell>
          <cell r="F997">
            <v>1.0699999999999999E-2</v>
          </cell>
          <cell r="G997"/>
          <cell r="H997">
            <v>2.0799999999999999E-2</v>
          </cell>
          <cell r="I997">
            <v>1.43E-2</v>
          </cell>
          <cell r="J997">
            <v>1.17E-2</v>
          </cell>
        </row>
        <row r="998">
          <cell r="B998" t="str">
            <v>LY-159</v>
          </cell>
          <cell r="C998" t="str">
            <v>ESP</v>
          </cell>
          <cell r="D998">
            <v>44603</v>
          </cell>
          <cell r="E998">
            <v>0.61458333333333337</v>
          </cell>
          <cell r="F998">
            <v>4.1000000000000003E-3</v>
          </cell>
          <cell r="G998"/>
          <cell r="H998">
            <v>1.11E-2</v>
          </cell>
          <cell r="I998">
            <v>2.46E-2</v>
          </cell>
          <cell r="J998">
            <v>2.9700000000000001E-2</v>
          </cell>
        </row>
        <row r="999">
          <cell r="B999" t="str">
            <v>MN-29</v>
          </cell>
          <cell r="C999" t="str">
            <v>ESP</v>
          </cell>
          <cell r="D999">
            <v>44604</v>
          </cell>
          <cell r="E999">
            <v>0.34930555555555554</v>
          </cell>
          <cell r="F999">
            <v>5.3E-3</v>
          </cell>
          <cell r="G999"/>
          <cell r="H999">
            <v>3.0800000000000001E-2</v>
          </cell>
          <cell r="I999">
            <v>0.14380000000000001</v>
          </cell>
          <cell r="J999">
            <v>2.0299999999999999E-2</v>
          </cell>
        </row>
        <row r="1000">
          <cell r="B1000"/>
          <cell r="C1000" t="str">
            <v>MUESTRA #2</v>
          </cell>
          <cell r="D1000">
            <v>44609</v>
          </cell>
          <cell r="E1000">
            <v>0.33333333333333331</v>
          </cell>
          <cell r="F1000">
            <v>2.69E-2</v>
          </cell>
          <cell r="G1000"/>
          <cell r="H1000">
            <v>6.6799999999999998E-2</v>
          </cell>
          <cell r="I1000">
            <v>0.1105</v>
          </cell>
          <cell r="J1000">
            <v>1.8100000000000002E-2</v>
          </cell>
        </row>
        <row r="1001">
          <cell r="B1001" t="str">
            <v>LY-067</v>
          </cell>
          <cell r="C1001" t="str">
            <v>ESP</v>
          </cell>
          <cell r="D1001">
            <v>44604</v>
          </cell>
          <cell r="E1001">
            <v>0.3576388888888889</v>
          </cell>
          <cell r="F1001">
            <v>6.0000000000000001E-3</v>
          </cell>
          <cell r="G1001"/>
          <cell r="H1001">
            <v>8.0000000000000002E-3</v>
          </cell>
          <cell r="I1001">
            <v>2.7099999999999999E-2</v>
          </cell>
          <cell r="J1001">
            <v>3.32E-2</v>
          </cell>
        </row>
        <row r="1002">
          <cell r="B1002"/>
          <cell r="C1002" t="str">
            <v>MUESTRA #2</v>
          </cell>
          <cell r="D1002">
            <v>44609</v>
          </cell>
          <cell r="E1002">
            <v>0.3576388888888889</v>
          </cell>
          <cell r="F1002">
            <v>2.8999999999999998E-3</v>
          </cell>
          <cell r="G1002"/>
          <cell r="H1002">
            <v>6.0000000000000001E-3</v>
          </cell>
          <cell r="I1002">
            <v>1.6799999999999999E-2</v>
          </cell>
          <cell r="J1002">
            <v>7.5800000000000006E-2</v>
          </cell>
        </row>
        <row r="1003">
          <cell r="B1003" t="str">
            <v>LY-027</v>
          </cell>
          <cell r="C1003" t="str">
            <v>ESP</v>
          </cell>
          <cell r="D1003">
            <v>44609</v>
          </cell>
          <cell r="E1003">
            <v>0.38541666666666669</v>
          </cell>
          <cell r="F1003">
            <v>1.4999999999999999E-2</v>
          </cell>
          <cell r="G1003"/>
          <cell r="H1003">
            <v>5.1400000000000001E-2</v>
          </cell>
          <cell r="I1003">
            <v>6.7599999999999993E-2</v>
          </cell>
          <cell r="J1003">
            <v>2.9399999999999999E-2</v>
          </cell>
        </row>
        <row r="1004">
          <cell r="B1004" t="str">
            <v>CY-047ST</v>
          </cell>
          <cell r="C1004" t="str">
            <v>ESP</v>
          </cell>
          <cell r="D1004">
            <v>44609</v>
          </cell>
          <cell r="E1004">
            <v>0.61111111111111105</v>
          </cell>
          <cell r="F1004">
            <v>4.5999999999999999E-3</v>
          </cell>
          <cell r="G1004"/>
          <cell r="H1004">
            <v>5.1999999999999998E-3</v>
          </cell>
          <cell r="I1004">
            <v>9.2999999999999992E-3</v>
          </cell>
          <cell r="J1004">
            <v>6.1999999999999998E-3</v>
          </cell>
        </row>
        <row r="1005">
          <cell r="B1005" t="str">
            <v>CH-28</v>
          </cell>
          <cell r="C1005" t="str">
            <v>ESP</v>
          </cell>
          <cell r="D1005">
            <v>44609</v>
          </cell>
          <cell r="E1005">
            <v>0.43958333333333338</v>
          </cell>
          <cell r="F1005">
            <v>1.0500000000000001E-2</v>
          </cell>
          <cell r="G1005"/>
          <cell r="H1005">
            <v>7.4999999999999997E-3</v>
          </cell>
          <cell r="I1005">
            <v>3.8899999999999997E-2</v>
          </cell>
          <cell r="J1005">
            <v>0.1017</v>
          </cell>
        </row>
        <row r="1006">
          <cell r="B1006" t="str">
            <v>LY-263</v>
          </cell>
          <cell r="C1006" t="str">
            <v>ESP</v>
          </cell>
          <cell r="D1006">
            <v>44610</v>
          </cell>
          <cell r="E1006">
            <v>0.3576388888888889</v>
          </cell>
          <cell r="F1006">
            <v>6.3500000000000001E-2</v>
          </cell>
          <cell r="G1006"/>
          <cell r="H1006">
            <v>7.0000000000000007E-2</v>
          </cell>
          <cell r="I1006">
            <v>2.9000000000000001E-2</v>
          </cell>
          <cell r="J1006">
            <v>1.9E-2</v>
          </cell>
        </row>
        <row r="1007">
          <cell r="B1007" t="str">
            <v>LY-258</v>
          </cell>
          <cell r="C1007" t="str">
            <v>ESP</v>
          </cell>
          <cell r="D1007">
            <v>44610</v>
          </cell>
          <cell r="E1007">
            <v>0.59166666666666667</v>
          </cell>
          <cell r="F1007">
            <v>2.5999999999999999E-3</v>
          </cell>
          <cell r="G1007"/>
          <cell r="H1007">
            <v>3.8E-3</v>
          </cell>
          <cell r="I1007">
            <v>9.7000000000000003E-3</v>
          </cell>
          <cell r="J1007">
            <v>1.8200000000000001E-2</v>
          </cell>
        </row>
        <row r="1008">
          <cell r="B1008" t="str">
            <v>CH-28</v>
          </cell>
          <cell r="C1008" t="str">
            <v>ESP</v>
          </cell>
          <cell r="D1008">
            <v>44610</v>
          </cell>
          <cell r="E1008">
            <v>0.38541666666666669</v>
          </cell>
          <cell r="F1008">
            <v>4.1000000000000003E-3</v>
          </cell>
          <cell r="G1008"/>
          <cell r="H1008">
            <v>1.6E-2</v>
          </cell>
          <cell r="I1008">
            <v>0.25019999999999998</v>
          </cell>
          <cell r="J1008">
            <v>0.18859999999999999</v>
          </cell>
        </row>
        <row r="1009">
          <cell r="B1009" t="str">
            <v>LY-083</v>
          </cell>
          <cell r="C1009" t="str">
            <v>ESP</v>
          </cell>
          <cell r="D1009">
            <v>44620</v>
          </cell>
          <cell r="E1009">
            <v>0.36805555555555558</v>
          </cell>
          <cell r="F1009">
            <v>3.2000000000000002E-3</v>
          </cell>
          <cell r="G1009"/>
          <cell r="H1009">
            <v>4.7999999999999996E-3</v>
          </cell>
          <cell r="I1009">
            <v>2.8899999999999999E-2</v>
          </cell>
          <cell r="J1009">
            <v>2.3300000000000001E-2</v>
          </cell>
        </row>
        <row r="1010">
          <cell r="B1010" t="str">
            <v>CH-28</v>
          </cell>
          <cell r="C1010" t="str">
            <v>ESP</v>
          </cell>
          <cell r="D1010">
            <v>44620</v>
          </cell>
          <cell r="E1010">
            <v>0.4236111111111111</v>
          </cell>
          <cell r="F1010">
            <v>1.3599999999999999E-2</v>
          </cell>
          <cell r="G1010"/>
          <cell r="H1010">
            <v>2.69E-2</v>
          </cell>
          <cell r="I1010">
            <v>6.7699999999999996E-2</v>
          </cell>
          <cell r="J1010">
            <v>2.7900000000000001E-2</v>
          </cell>
        </row>
        <row r="1011">
          <cell r="B1011" t="str">
            <v>LY-030</v>
          </cell>
          <cell r="C1011" t="str">
            <v>ESP</v>
          </cell>
          <cell r="D1011">
            <v>44621</v>
          </cell>
          <cell r="E1011">
            <v>0.4236111111111111</v>
          </cell>
          <cell r="F1011">
            <v>7.2300000000000003E-2</v>
          </cell>
          <cell r="G1011"/>
          <cell r="H1011">
            <v>0.19209999999999999</v>
          </cell>
          <cell r="I1011">
            <v>0.17760000000000001</v>
          </cell>
          <cell r="J1011">
            <v>2.35E-2</v>
          </cell>
        </row>
        <row r="1012">
          <cell r="B1012" t="str">
            <v>MN-85</v>
          </cell>
          <cell r="C1012" t="str">
            <v>ESP</v>
          </cell>
          <cell r="D1012">
            <v>44621</v>
          </cell>
          <cell r="E1012">
            <v>0.40277777777777773</v>
          </cell>
          <cell r="F1012">
            <v>4.3E-3</v>
          </cell>
          <cell r="G1012"/>
          <cell r="H1012">
            <v>1.66E-2</v>
          </cell>
          <cell r="I1012">
            <v>0.14249999999999999</v>
          </cell>
          <cell r="J1012">
            <v>0.37009999999999998</v>
          </cell>
        </row>
        <row r="1013">
          <cell r="B1013" t="str">
            <v>LY-184</v>
          </cell>
          <cell r="C1013" t="str">
            <v>ESP</v>
          </cell>
          <cell r="D1013">
            <v>44621</v>
          </cell>
          <cell r="E1013">
            <v>0.59722222222222221</v>
          </cell>
          <cell r="F1013">
            <v>2.4899999999999999E-2</v>
          </cell>
          <cell r="G1013"/>
          <cell r="H1013">
            <v>3.8800000000000001E-2</v>
          </cell>
          <cell r="I1013">
            <v>1.8154999999999999</v>
          </cell>
          <cell r="J1013">
            <v>2.5238</v>
          </cell>
        </row>
        <row r="1014">
          <cell r="B1014" t="str">
            <v>CY-53</v>
          </cell>
          <cell r="C1014" t="str">
            <v>ESP</v>
          </cell>
          <cell r="D1014">
            <v>44621</v>
          </cell>
          <cell r="E1014">
            <v>0.63194444444444442</v>
          </cell>
          <cell r="F1014">
            <v>7.0199999999999999E-2</v>
          </cell>
          <cell r="G1014"/>
          <cell r="H1014">
            <v>0.11020000000000001</v>
          </cell>
          <cell r="I1014">
            <v>7.9899999999999999E-2</v>
          </cell>
          <cell r="J1014">
            <v>2.6700000000000002E-2</v>
          </cell>
        </row>
        <row r="1015">
          <cell r="B1015" t="str">
            <v>LY-055</v>
          </cell>
          <cell r="C1015" t="str">
            <v>ESP</v>
          </cell>
          <cell r="D1015">
            <v>44622</v>
          </cell>
          <cell r="E1015">
            <v>0.35694444444444445</v>
          </cell>
          <cell r="F1015">
            <v>0.03</v>
          </cell>
          <cell r="G1015"/>
          <cell r="H1015">
            <v>3.2000000000000001E-2</v>
          </cell>
          <cell r="I1015">
            <v>0.1013</v>
          </cell>
          <cell r="J1015">
            <v>8.5699999999999998E-2</v>
          </cell>
        </row>
        <row r="1016">
          <cell r="B1016" t="str">
            <v>LY-207</v>
          </cell>
          <cell r="C1016" t="str">
            <v>ESP</v>
          </cell>
          <cell r="D1016">
            <v>44622</v>
          </cell>
          <cell r="E1016">
            <v>0.39583333333333331</v>
          </cell>
          <cell r="F1016">
            <v>8.8000000000000005E-3</v>
          </cell>
          <cell r="G1016"/>
          <cell r="H1016">
            <v>5.1000000000000004E-3</v>
          </cell>
          <cell r="I1016">
            <v>1.09E-2</v>
          </cell>
          <cell r="J1016">
            <v>7.0000000000000001E-3</v>
          </cell>
        </row>
        <row r="1017">
          <cell r="B1017" t="str">
            <v>LY-199</v>
          </cell>
          <cell r="C1017" t="str">
            <v>ESP</v>
          </cell>
          <cell r="D1017">
            <v>44622</v>
          </cell>
          <cell r="E1017">
            <v>0.59722222222222221</v>
          </cell>
          <cell r="F1017">
            <v>3.6799999999999999E-2</v>
          </cell>
          <cell r="G1017"/>
          <cell r="H1017">
            <v>8.0600000000000005E-2</v>
          </cell>
          <cell r="I1017">
            <v>0.2051</v>
          </cell>
          <cell r="J1017">
            <v>5.6899999999999999E-2</v>
          </cell>
        </row>
        <row r="1018">
          <cell r="B1018" t="str">
            <v>LY-185</v>
          </cell>
          <cell r="C1018" t="str">
            <v>ESP</v>
          </cell>
          <cell r="D1018">
            <v>44622</v>
          </cell>
          <cell r="E1018">
            <v>0.60763888888888895</v>
          </cell>
          <cell r="F1018">
            <v>5.5999999999999999E-3</v>
          </cell>
          <cell r="G1018"/>
          <cell r="H1018">
            <v>2.2100000000000002E-2</v>
          </cell>
          <cell r="I1018">
            <v>2.41E-2</v>
          </cell>
          <cell r="J1018">
            <v>1.38E-2</v>
          </cell>
        </row>
        <row r="1019">
          <cell r="B1019" t="str">
            <v>CY-50</v>
          </cell>
          <cell r="C1019" t="str">
            <v>ESP</v>
          </cell>
          <cell r="D1019">
            <v>44623</v>
          </cell>
          <cell r="E1019">
            <v>0.35138888888888892</v>
          </cell>
          <cell r="F1019">
            <v>1.0999999999999999E-2</v>
          </cell>
          <cell r="G1019"/>
          <cell r="H1019">
            <v>1.6299999999999999E-2</v>
          </cell>
          <cell r="I1019">
            <v>5.8999999999999997E-2</v>
          </cell>
          <cell r="J1019">
            <v>4.9500000000000002E-2</v>
          </cell>
        </row>
        <row r="1020">
          <cell r="B1020" t="str">
            <v>LY-196</v>
          </cell>
          <cell r="C1020" t="str">
            <v>ESP</v>
          </cell>
          <cell r="D1020">
            <v>44623</v>
          </cell>
          <cell r="E1020">
            <v>0.36458333333333331</v>
          </cell>
          <cell r="F1020">
            <v>4.4000000000000003E-3</v>
          </cell>
          <cell r="G1020"/>
          <cell r="H1020">
            <v>8.9999999999999993E-3</v>
          </cell>
          <cell r="I1020">
            <v>1.14E-2</v>
          </cell>
          <cell r="J1020">
            <v>1.06E-2</v>
          </cell>
        </row>
        <row r="1021">
          <cell r="B1021" t="str">
            <v>LY-220</v>
          </cell>
          <cell r="C1021" t="str">
            <v>ESP</v>
          </cell>
          <cell r="D1021">
            <v>44623</v>
          </cell>
          <cell r="E1021">
            <v>0.58333333333333337</v>
          </cell>
          <cell r="F1021">
            <v>6.7000000000000002E-3</v>
          </cell>
          <cell r="G1021"/>
          <cell r="H1021">
            <v>1.01E-2</v>
          </cell>
          <cell r="I1021">
            <v>1.29E-2</v>
          </cell>
          <cell r="J1021">
            <v>1.35E-2</v>
          </cell>
        </row>
        <row r="1022">
          <cell r="B1022" t="str">
            <v>MN-85</v>
          </cell>
          <cell r="C1022" t="str">
            <v>ESP</v>
          </cell>
          <cell r="D1022">
            <v>44623</v>
          </cell>
          <cell r="E1022">
            <v>0.60416666666666663</v>
          </cell>
          <cell r="F1022">
            <v>7.46E-2</v>
          </cell>
          <cell r="G1022"/>
          <cell r="H1022">
            <v>0.20830000000000001</v>
          </cell>
          <cell r="I1022">
            <v>1.6188</v>
          </cell>
          <cell r="J1022">
            <v>1.0691999999999999</v>
          </cell>
        </row>
        <row r="1023">
          <cell r="B1023" t="str">
            <v>CY-89</v>
          </cell>
          <cell r="C1023" t="str">
            <v>ESP</v>
          </cell>
          <cell r="D1023">
            <v>44624</v>
          </cell>
          <cell r="E1023">
            <v>0.36319444444444443</v>
          </cell>
          <cell r="F1023">
            <v>7.9000000000000008E-3</v>
          </cell>
          <cell r="G1023"/>
          <cell r="H1023">
            <v>1.9400000000000001E-2</v>
          </cell>
          <cell r="I1023">
            <v>1.44E-2</v>
          </cell>
          <cell r="J1023">
            <v>0.1048</v>
          </cell>
        </row>
        <row r="1024">
          <cell r="B1024" t="str">
            <v>CH-28</v>
          </cell>
          <cell r="C1024" t="str">
            <v>ESP</v>
          </cell>
          <cell r="D1024">
            <v>44624</v>
          </cell>
          <cell r="E1024">
            <v>0.40972222222222227</v>
          </cell>
          <cell r="F1024">
            <v>1.49E-2</v>
          </cell>
          <cell r="G1024"/>
          <cell r="H1024">
            <v>5.57E-2</v>
          </cell>
          <cell r="I1024">
            <v>0.18060000000000001</v>
          </cell>
          <cell r="J1024">
            <v>8.4400000000000003E-2</v>
          </cell>
        </row>
        <row r="1025">
          <cell r="B1025" t="str">
            <v>RD-008</v>
          </cell>
          <cell r="C1025" t="str">
            <v>ESP</v>
          </cell>
          <cell r="D1025">
            <v>44624</v>
          </cell>
          <cell r="E1025">
            <v>0.59027777777777779</v>
          </cell>
          <cell r="F1025">
            <v>5.4999999999999997E-3</v>
          </cell>
          <cell r="G1025"/>
          <cell r="H1025">
            <v>6.1000000000000004E-3</v>
          </cell>
          <cell r="I1025">
            <v>5.4999999999999997E-3</v>
          </cell>
          <cell r="J1025">
            <v>5.4999999999999997E-3</v>
          </cell>
        </row>
        <row r="1026">
          <cell r="B1026" t="str">
            <v>RD-11</v>
          </cell>
          <cell r="C1026" t="str">
            <v>ESP</v>
          </cell>
          <cell r="D1026">
            <v>44624</v>
          </cell>
          <cell r="E1026">
            <v>0.63194444444444442</v>
          </cell>
          <cell r="F1026">
            <v>6.1000000000000004E-3</v>
          </cell>
          <cell r="G1026"/>
          <cell r="H1026">
            <v>8.0000000000000002E-3</v>
          </cell>
          <cell r="I1026">
            <v>5.7999999999999996E-3</v>
          </cell>
          <cell r="J1026">
            <v>6.4999999999999997E-3</v>
          </cell>
        </row>
        <row r="1027">
          <cell r="B1027" t="str">
            <v>CV-14</v>
          </cell>
          <cell r="C1027" t="str">
            <v>ESP</v>
          </cell>
          <cell r="D1027">
            <v>44627</v>
          </cell>
          <cell r="E1027">
            <v>0.34583333333333338</v>
          </cell>
          <cell r="F1027">
            <v>1.5599999999999999E-2</v>
          </cell>
          <cell r="G1027"/>
          <cell r="H1027">
            <v>1.0500000000000001E-2</v>
          </cell>
          <cell r="I1027">
            <v>4.4999999999999997E-3</v>
          </cell>
          <cell r="J1027">
            <v>3.5999999999999999E-3</v>
          </cell>
        </row>
        <row r="1028">
          <cell r="B1028" t="str">
            <v>CV-004</v>
          </cell>
          <cell r="C1028" t="str">
            <v>ESP</v>
          </cell>
          <cell r="D1028">
            <v>44627</v>
          </cell>
          <cell r="E1028">
            <v>0.3527777777777778</v>
          </cell>
          <cell r="F1028">
            <v>3.5000000000000001E-3</v>
          </cell>
          <cell r="G1028"/>
          <cell r="H1028">
            <v>2E-3</v>
          </cell>
          <cell r="I1028">
            <v>5.5999999999999999E-3</v>
          </cell>
          <cell r="J1028">
            <v>7.1000000000000004E-3</v>
          </cell>
        </row>
        <row r="1029">
          <cell r="B1029" t="str">
            <v>CC-017</v>
          </cell>
          <cell r="C1029" t="str">
            <v>ESP</v>
          </cell>
          <cell r="D1029">
            <v>44628</v>
          </cell>
          <cell r="E1029">
            <v>0.35000000000000003</v>
          </cell>
          <cell r="F1029">
            <v>4.4999999999999997E-3</v>
          </cell>
          <cell r="G1029"/>
          <cell r="H1029">
            <v>4.1999999999999997E-3</v>
          </cell>
          <cell r="I1029">
            <v>5.4000000000000003E-3</v>
          </cell>
          <cell r="J1029">
            <v>1.03E-2</v>
          </cell>
        </row>
        <row r="1030">
          <cell r="B1030" t="str">
            <v>CC-014</v>
          </cell>
          <cell r="C1030" t="str">
            <v>ESP</v>
          </cell>
          <cell r="D1030">
            <v>44628</v>
          </cell>
          <cell r="E1030">
            <v>0.34722222222222227</v>
          </cell>
          <cell r="F1030">
            <v>3.2000000000000002E-3</v>
          </cell>
          <cell r="G1030"/>
          <cell r="H1030">
            <v>1.4200000000000001E-2</v>
          </cell>
          <cell r="I1030">
            <v>2.9499999999999998E-2</v>
          </cell>
          <cell r="J1030">
            <v>1.09E-2</v>
          </cell>
        </row>
        <row r="1031">
          <cell r="B1031" t="str">
            <v>CR-14</v>
          </cell>
          <cell r="C1031" t="str">
            <v>ESP</v>
          </cell>
          <cell r="D1031">
            <v>44629</v>
          </cell>
          <cell r="E1031">
            <v>0.38194444444444442</v>
          </cell>
          <cell r="F1031">
            <v>1.52E-2</v>
          </cell>
          <cell r="G1031"/>
          <cell r="H1031">
            <v>2.5700000000000001E-2</v>
          </cell>
          <cell r="I1031">
            <v>0.154</v>
          </cell>
          <cell r="J1031">
            <v>0.17399999999999999</v>
          </cell>
        </row>
        <row r="1032">
          <cell r="B1032" t="str">
            <v>CC-001</v>
          </cell>
          <cell r="C1032" t="str">
            <v>ESP</v>
          </cell>
          <cell r="D1032">
            <v>44629</v>
          </cell>
          <cell r="E1032">
            <v>0.34166666666666662</v>
          </cell>
          <cell r="F1032">
            <v>5.4000000000000003E-3</v>
          </cell>
          <cell r="G1032"/>
          <cell r="H1032">
            <v>2.24E-2</v>
          </cell>
          <cell r="I1032">
            <v>1.3599999999999999E-2</v>
          </cell>
          <cell r="J1032">
            <v>1.43E-2</v>
          </cell>
        </row>
        <row r="1033">
          <cell r="B1033"/>
          <cell r="C1033" t="str">
            <v>MUESTRA #2</v>
          </cell>
          <cell r="D1033">
            <v>44631</v>
          </cell>
          <cell r="E1033">
            <v>0.36805555555555558</v>
          </cell>
          <cell r="F1033">
            <v>3.9E-2</v>
          </cell>
          <cell r="G1033"/>
          <cell r="H1033">
            <v>9.7500000000000003E-2</v>
          </cell>
          <cell r="I1033">
            <v>0.1038</v>
          </cell>
          <cell r="J1033">
            <v>4.7800000000000002E-2</v>
          </cell>
        </row>
        <row r="1034">
          <cell r="B1034" t="str">
            <v>CC-027</v>
          </cell>
          <cell r="C1034" t="str">
            <v>ESP</v>
          </cell>
          <cell r="D1034">
            <v>44631</v>
          </cell>
          <cell r="E1034">
            <v>0.39513888888888887</v>
          </cell>
          <cell r="F1034">
            <v>3.5000000000000001E-3</v>
          </cell>
          <cell r="G1034"/>
          <cell r="H1034">
            <v>4.7999999999999996E-3</v>
          </cell>
          <cell r="I1034">
            <v>8.2000000000000007E-3</v>
          </cell>
          <cell r="J1034">
            <v>3.0499999999999999E-2</v>
          </cell>
        </row>
        <row r="1035">
          <cell r="B1035"/>
          <cell r="C1035" t="str">
            <v>MUESTRA #2</v>
          </cell>
          <cell r="D1035">
            <v>44642</v>
          </cell>
          <cell r="E1035">
            <v>0.56944444444444442</v>
          </cell>
          <cell r="F1035">
            <v>1.24E-2</v>
          </cell>
          <cell r="G1035"/>
          <cell r="H1035">
            <v>1.12E-2</v>
          </cell>
          <cell r="I1035">
            <v>2.92E-2</v>
          </cell>
          <cell r="J1035">
            <v>2.4E-2</v>
          </cell>
        </row>
        <row r="1036">
          <cell r="B1036" t="str">
            <v>CR-14</v>
          </cell>
          <cell r="C1036" t="str">
            <v>ESP</v>
          </cell>
          <cell r="D1036">
            <v>44631</v>
          </cell>
          <cell r="E1036">
            <v>0.41666666666666669</v>
          </cell>
          <cell r="F1036">
            <v>6.4000000000000003E-3</v>
          </cell>
          <cell r="G1036"/>
          <cell r="H1036">
            <v>1.43E-2</v>
          </cell>
          <cell r="I1036">
            <v>2.63E-2</v>
          </cell>
          <cell r="J1036">
            <v>4.0899999999999999E-2</v>
          </cell>
        </row>
        <row r="1037">
          <cell r="B1037"/>
          <cell r="C1037" t="str">
            <v>MUESTRA #2</v>
          </cell>
          <cell r="D1037">
            <v>44642</v>
          </cell>
          <cell r="E1037">
            <v>0.59027777777777779</v>
          </cell>
          <cell r="F1037">
            <v>1.18E-2</v>
          </cell>
          <cell r="G1037"/>
          <cell r="H1037">
            <v>9.7000000000000003E-3</v>
          </cell>
          <cell r="I1037">
            <v>8.5400000000000004E-2</v>
          </cell>
          <cell r="J1037">
            <v>0.13650000000000001</v>
          </cell>
        </row>
        <row r="1038">
          <cell r="B1038" t="str">
            <v>CY-066</v>
          </cell>
          <cell r="C1038" t="str">
            <v>ESP</v>
          </cell>
          <cell r="D1038">
            <v>44643</v>
          </cell>
          <cell r="E1038">
            <v>0.4861111111111111</v>
          </cell>
          <cell r="F1038">
            <v>8.0000000000000002E-3</v>
          </cell>
          <cell r="G1038"/>
          <cell r="H1038">
            <v>5.4000000000000003E-3</v>
          </cell>
          <cell r="I1038">
            <v>0.16159999999999999</v>
          </cell>
          <cell r="J1038">
            <v>9.7100000000000006E-2</v>
          </cell>
        </row>
        <row r="1039">
          <cell r="B1039" t="str">
            <v>CY-082</v>
          </cell>
          <cell r="C1039" t="str">
            <v>ESP</v>
          </cell>
          <cell r="D1039">
            <v>44643</v>
          </cell>
          <cell r="E1039">
            <v>0.49305555555555558</v>
          </cell>
          <cell r="F1039">
            <v>7.4000000000000003E-3</v>
          </cell>
          <cell r="G1039"/>
          <cell r="H1039">
            <v>2.3400000000000001E-2</v>
          </cell>
          <cell r="I1039">
            <v>0.16009999999999999</v>
          </cell>
          <cell r="J1039">
            <v>0.38640000000000002</v>
          </cell>
        </row>
        <row r="1040">
          <cell r="B1040" t="str">
            <v>MN-014</v>
          </cell>
          <cell r="C1040" t="str">
            <v>ESP</v>
          </cell>
          <cell r="D1040">
            <v>44643</v>
          </cell>
          <cell r="E1040">
            <v>0.67013888888888884</v>
          </cell>
          <cell r="F1040">
            <v>1.66E-2</v>
          </cell>
          <cell r="G1040"/>
          <cell r="H1040">
            <v>1.21E-2</v>
          </cell>
          <cell r="I1040">
            <v>2.01E-2</v>
          </cell>
          <cell r="J1040">
            <v>1.9300000000000001E-2</v>
          </cell>
        </row>
        <row r="1041">
          <cell r="B1041" t="str">
            <v>LY-067</v>
          </cell>
          <cell r="C1041" t="str">
            <v>ESP</v>
          </cell>
          <cell r="D1041">
            <v>44643</v>
          </cell>
          <cell r="E1041">
            <v>0.69097222222222221</v>
          </cell>
          <cell r="F1041">
            <v>1.34E-2</v>
          </cell>
          <cell r="G1041"/>
          <cell r="H1041">
            <v>2.0899999999999998E-2</v>
          </cell>
          <cell r="I1041">
            <v>0.1206</v>
          </cell>
          <cell r="J1041">
            <v>0.48530000000000001</v>
          </cell>
        </row>
        <row r="1042">
          <cell r="B1042" t="str">
            <v>LY-288</v>
          </cell>
          <cell r="C1042" t="str">
            <v>ESP</v>
          </cell>
          <cell r="D1042">
            <v>44644</v>
          </cell>
          <cell r="E1042">
            <v>0.47361111111111115</v>
          </cell>
          <cell r="F1042">
            <v>6.9999999999999999E-4</v>
          </cell>
          <cell r="G1042"/>
          <cell r="H1042">
            <v>4.7000000000000002E-3</v>
          </cell>
          <cell r="I1042">
            <v>1.1299999999999999E-2</v>
          </cell>
          <cell r="J1042">
            <v>9.1000000000000004E-3</v>
          </cell>
        </row>
        <row r="1043">
          <cell r="B1043" t="str">
            <v>LY-297</v>
          </cell>
          <cell r="C1043" t="str">
            <v>ESP</v>
          </cell>
          <cell r="D1043">
            <v>44644</v>
          </cell>
          <cell r="E1043">
            <v>0.47569444444444442</v>
          </cell>
          <cell r="F1043">
            <v>3.2000000000000002E-3</v>
          </cell>
          <cell r="G1043"/>
          <cell r="H1043">
            <v>6.8999999999999999E-3</v>
          </cell>
          <cell r="I1043">
            <v>1.9599999999999999E-2</v>
          </cell>
          <cell r="J1043">
            <v>6.5100000000000005E-2</v>
          </cell>
        </row>
        <row r="1044">
          <cell r="B1044" t="str">
            <v>LY-028</v>
          </cell>
          <cell r="C1044" t="str">
            <v>ESP</v>
          </cell>
          <cell r="D1044">
            <v>44644</v>
          </cell>
          <cell r="E1044">
            <v>0.64166666666666672</v>
          </cell>
          <cell r="F1044">
            <v>2E-3</v>
          </cell>
          <cell r="G1044"/>
          <cell r="H1044">
            <v>2.5000000000000001E-3</v>
          </cell>
          <cell r="I1044">
            <v>1.78E-2</v>
          </cell>
          <cell r="J1044">
            <v>4.1200000000000001E-2</v>
          </cell>
        </row>
        <row r="1045">
          <cell r="B1045" t="str">
            <v>LY-282</v>
          </cell>
          <cell r="C1045" t="str">
            <v>ESP</v>
          </cell>
          <cell r="D1045">
            <v>44644</v>
          </cell>
          <cell r="E1045">
            <v>0.63888888888888895</v>
          </cell>
          <cell r="F1045">
            <v>1.1000000000000001E-3</v>
          </cell>
          <cell r="G1045"/>
          <cell r="H1045">
            <v>1.8E-3</v>
          </cell>
          <cell r="I1045">
            <v>8.9999999999999998E-4</v>
          </cell>
          <cell r="J1045">
            <v>5.3E-3</v>
          </cell>
        </row>
        <row r="1046">
          <cell r="B1046" t="str">
            <v>MN-98</v>
          </cell>
          <cell r="C1046" t="str">
            <v>ESP</v>
          </cell>
          <cell r="D1046">
            <v>44645</v>
          </cell>
          <cell r="E1046">
            <v>0.63194444444444442</v>
          </cell>
          <cell r="F1046">
            <v>8.6E-3</v>
          </cell>
          <cell r="G1046"/>
          <cell r="H1046">
            <v>3.2000000000000002E-3</v>
          </cell>
          <cell r="I1046">
            <v>1.77E-2</v>
          </cell>
          <cell r="J1046">
            <v>2.7E-2</v>
          </cell>
        </row>
        <row r="1047">
          <cell r="B1047"/>
          <cell r="C1047"/>
          <cell r="D1047">
            <v>44650</v>
          </cell>
          <cell r="E1047">
            <v>0.38541666666666669</v>
          </cell>
          <cell r="F1047">
            <v>4.3E-3</v>
          </cell>
          <cell r="G1047"/>
          <cell r="H1047">
            <v>1.4E-2</v>
          </cell>
          <cell r="I1047">
            <v>4.6899999999999997E-2</v>
          </cell>
          <cell r="J1047">
            <v>3.7699999999999997E-2</v>
          </cell>
        </row>
        <row r="1048">
          <cell r="B1048" t="str">
            <v>MN-72</v>
          </cell>
          <cell r="C1048" t="str">
            <v>ESP</v>
          </cell>
          <cell r="D1048">
            <v>44645</v>
          </cell>
          <cell r="E1048">
            <v>0.63541666666666663</v>
          </cell>
          <cell r="F1048">
            <v>3.3E-3</v>
          </cell>
          <cell r="G1048"/>
          <cell r="H1048">
            <v>1.1999999999999999E-3</v>
          </cell>
          <cell r="I1048">
            <v>6.1999999999999998E-3</v>
          </cell>
          <cell r="J1048">
            <v>1.7100000000000001E-2</v>
          </cell>
        </row>
        <row r="1049">
          <cell r="B1049"/>
          <cell r="C1049"/>
          <cell r="D1049">
            <v>44650</v>
          </cell>
          <cell r="E1049">
            <v>0.38750000000000001</v>
          </cell>
          <cell r="F1049">
            <v>4.7999999999999996E-3</v>
          </cell>
          <cell r="G1049"/>
          <cell r="H1049">
            <v>6.6E-3</v>
          </cell>
          <cell r="I1049">
            <v>1.14E-2</v>
          </cell>
          <cell r="J1049">
            <v>8.3999999999999995E-3</v>
          </cell>
        </row>
        <row r="1050">
          <cell r="B1050" t="str">
            <v>MN-95</v>
          </cell>
          <cell r="C1050" t="str">
            <v>ESP</v>
          </cell>
          <cell r="D1050">
            <v>44650</v>
          </cell>
          <cell r="E1050">
            <v>0.40833333333333338</v>
          </cell>
          <cell r="F1050">
            <v>7.1999999999999998E-3</v>
          </cell>
          <cell r="G1050"/>
          <cell r="H1050">
            <v>7.1000000000000004E-3</v>
          </cell>
          <cell r="I1050">
            <v>9.2999999999999992E-3</v>
          </cell>
          <cell r="J1050">
            <v>1.2500000000000001E-2</v>
          </cell>
        </row>
        <row r="1051">
          <cell r="B1051" t="str">
            <v>MN-17</v>
          </cell>
          <cell r="C1051" t="str">
            <v>ESP</v>
          </cell>
          <cell r="D1051">
            <v>44650</v>
          </cell>
          <cell r="E1051">
            <v>0.41597222222222219</v>
          </cell>
          <cell r="F1051">
            <v>1.9699999999999999E-2</v>
          </cell>
          <cell r="G1051"/>
          <cell r="H1051">
            <v>1.1000000000000001E-3</v>
          </cell>
          <cell r="I1051">
            <v>9.4000000000000004E-3</v>
          </cell>
          <cell r="J1051">
            <v>1.66E-2</v>
          </cell>
        </row>
        <row r="1052">
          <cell r="B1052" t="str">
            <v>MN-25</v>
          </cell>
          <cell r="C1052" t="str">
            <v>ESP</v>
          </cell>
          <cell r="D1052">
            <v>44650</v>
          </cell>
          <cell r="E1052">
            <v>0.63611111111111118</v>
          </cell>
          <cell r="F1052">
            <v>3.0000000000000001E-3</v>
          </cell>
          <cell r="G1052"/>
          <cell r="H1052">
            <v>3.0999999999999999E-3</v>
          </cell>
          <cell r="I1052">
            <v>8.3000000000000001E-3</v>
          </cell>
          <cell r="J1052">
            <v>9.5999999999999992E-3</v>
          </cell>
        </row>
        <row r="1053">
          <cell r="B1053" t="str">
            <v xml:space="preserve">MN-50 </v>
          </cell>
          <cell r="C1053" t="str">
            <v>ESP</v>
          </cell>
          <cell r="D1053">
            <v>44650</v>
          </cell>
          <cell r="E1053">
            <v>0.63750000000000007</v>
          </cell>
          <cell r="F1053">
            <v>5.0000000000000001E-4</v>
          </cell>
          <cell r="G1053"/>
          <cell r="H1053">
            <v>1.8E-3</v>
          </cell>
          <cell r="I1053">
            <v>4.0000000000000001E-3</v>
          </cell>
          <cell r="J1053">
            <v>7.4999999999999997E-3</v>
          </cell>
        </row>
        <row r="1054">
          <cell r="B1054" t="str">
            <v>MN-58</v>
          </cell>
          <cell r="C1054" t="str">
            <v>ESP</v>
          </cell>
          <cell r="D1054">
            <v>44651</v>
          </cell>
          <cell r="E1054">
            <v>0.3611111111111111</v>
          </cell>
          <cell r="F1054">
            <v>4.1000000000000003E-3</v>
          </cell>
          <cell r="G1054"/>
          <cell r="H1054">
            <v>3.5999999999999999E-3</v>
          </cell>
          <cell r="I1054">
            <v>7.1000000000000004E-3</v>
          </cell>
          <cell r="J1054">
            <v>1.1599999999999999E-2</v>
          </cell>
        </row>
        <row r="1055">
          <cell r="B1055" t="str">
            <v>MN-74</v>
          </cell>
          <cell r="C1055" t="str">
            <v>ESP</v>
          </cell>
          <cell r="D1055">
            <v>44651</v>
          </cell>
          <cell r="E1055">
            <v>0.36458333333333331</v>
          </cell>
          <cell r="F1055">
            <v>5.5999999999999999E-3</v>
          </cell>
          <cell r="G1055"/>
          <cell r="H1055">
            <v>7.0000000000000001E-3</v>
          </cell>
          <cell r="I1055">
            <v>1.8200000000000001E-2</v>
          </cell>
          <cell r="J1055">
            <v>2.1600000000000001E-2</v>
          </cell>
        </row>
        <row r="1056">
          <cell r="B1056" t="str">
            <v>MN-70</v>
          </cell>
          <cell r="C1056" t="str">
            <v>BM</v>
          </cell>
          <cell r="D1056">
            <v>44651</v>
          </cell>
          <cell r="E1056">
            <v>0.57430555555555551</v>
          </cell>
          <cell r="F1056">
            <v>5.9999999999999995E-4</v>
          </cell>
          <cell r="G1056"/>
          <cell r="H1056">
            <v>6.6E-3</v>
          </cell>
          <cell r="I1056">
            <v>3.7000000000000002E-3</v>
          </cell>
          <cell r="J1056">
            <v>4.1999999999999997E-3</v>
          </cell>
        </row>
        <row r="1057">
          <cell r="B1057" t="str">
            <v>MN-68ST</v>
          </cell>
          <cell r="C1057" t="str">
            <v>ESP</v>
          </cell>
          <cell r="D1057">
            <v>44651</v>
          </cell>
          <cell r="E1057">
            <v>0.57847222222222217</v>
          </cell>
          <cell r="F1057">
            <v>4.7000000000000002E-3</v>
          </cell>
          <cell r="G1057"/>
          <cell r="H1057">
            <v>9.2999999999999992E-3</v>
          </cell>
          <cell r="I1057">
            <v>7.0000000000000001E-3</v>
          </cell>
          <cell r="J1057">
            <v>1.29E-2</v>
          </cell>
        </row>
        <row r="1058">
          <cell r="B1058" t="str">
            <v>MN-97</v>
          </cell>
          <cell r="C1058" t="str">
            <v>ESP</v>
          </cell>
          <cell r="D1058">
            <v>44652</v>
          </cell>
          <cell r="E1058">
            <v>0.3527777777777778</v>
          </cell>
          <cell r="F1058">
            <v>2.4400000000000002E-2</v>
          </cell>
          <cell r="G1058"/>
          <cell r="H1058">
            <v>8.0299999999999996E-2</v>
          </cell>
          <cell r="I1058">
            <v>0.32529999999999998</v>
          </cell>
          <cell r="J1058">
            <v>0.33939999999999998</v>
          </cell>
        </row>
        <row r="1059">
          <cell r="B1059" t="str">
            <v>MN-99</v>
          </cell>
          <cell r="C1059" t="str">
            <v>ESP</v>
          </cell>
          <cell r="D1059">
            <v>44652</v>
          </cell>
          <cell r="E1059">
            <v>0.35694444444444445</v>
          </cell>
          <cell r="F1059">
            <v>3.3000000000000002E-2</v>
          </cell>
          <cell r="G1059"/>
          <cell r="H1059">
            <v>6.1699999999999998E-2</v>
          </cell>
          <cell r="I1059">
            <v>7.17E-2</v>
          </cell>
          <cell r="J1059">
            <v>4.1300000000000003E-2</v>
          </cell>
        </row>
        <row r="1060">
          <cell r="B1060" t="str">
            <v>CL-51</v>
          </cell>
          <cell r="C1060" t="str">
            <v>ESP</v>
          </cell>
          <cell r="D1060">
            <v>44652</v>
          </cell>
          <cell r="E1060">
            <v>0.58680555555555558</v>
          </cell>
          <cell r="F1060">
            <v>1.1000000000000001E-3</v>
          </cell>
          <cell r="G1060"/>
          <cell r="H1060">
            <v>1.9800000000000002E-2</v>
          </cell>
          <cell r="I1060">
            <v>0.1124</v>
          </cell>
          <cell r="J1060">
            <v>9.1999999999999998E-2</v>
          </cell>
        </row>
        <row r="1061">
          <cell r="B1061" t="str">
            <v>MN-66</v>
          </cell>
          <cell r="C1061" t="str">
            <v>ESP</v>
          </cell>
          <cell r="D1061">
            <v>44652</v>
          </cell>
          <cell r="E1061">
            <v>0.60069444444444442</v>
          </cell>
          <cell r="F1061">
            <v>4.1000000000000003E-3</v>
          </cell>
          <cell r="G1061"/>
          <cell r="H1061">
            <v>1.47E-2</v>
          </cell>
          <cell r="I1061">
            <v>6.2399999999999997E-2</v>
          </cell>
          <cell r="J1061">
            <v>0.09</v>
          </cell>
        </row>
        <row r="1062">
          <cell r="B1062" t="str">
            <v>CH-03</v>
          </cell>
          <cell r="C1062" t="str">
            <v>ESP</v>
          </cell>
          <cell r="D1062">
            <v>44659</v>
          </cell>
          <cell r="E1062">
            <v>0.44236111111111115</v>
          </cell>
          <cell r="F1062">
            <v>3.5900000000000001E-2</v>
          </cell>
          <cell r="G1062"/>
          <cell r="H1062">
            <v>4.7600000000000003E-2</v>
          </cell>
          <cell r="I1062">
            <v>6.5500000000000003E-2</v>
          </cell>
          <cell r="J1062">
            <v>4.07E-2</v>
          </cell>
        </row>
        <row r="1063">
          <cell r="B1063" t="str">
            <v>CH-03</v>
          </cell>
          <cell r="C1063" t="str">
            <v>ESP</v>
          </cell>
          <cell r="D1063">
            <v>44669</v>
          </cell>
          <cell r="E1063">
            <v>0.40277777777777773</v>
          </cell>
          <cell r="F1063">
            <v>2.5999999999999999E-3</v>
          </cell>
          <cell r="G1063"/>
          <cell r="H1063">
            <v>2.3E-3</v>
          </cell>
          <cell r="I1063">
            <v>6.4000000000000003E-3</v>
          </cell>
          <cell r="J1063">
            <v>1.4E-2</v>
          </cell>
        </row>
        <row r="1064">
          <cell r="B1064" t="str">
            <v>CH-04</v>
          </cell>
          <cell r="C1064" t="str">
            <v>ESP</v>
          </cell>
          <cell r="D1064">
            <v>44659</v>
          </cell>
          <cell r="E1064">
            <v>0.44305555555555554</v>
          </cell>
          <cell r="F1064">
            <v>2.0999999999999999E-3</v>
          </cell>
          <cell r="G1064"/>
          <cell r="H1064">
            <v>6.1000000000000004E-3</v>
          </cell>
          <cell r="I1064">
            <v>2.6599999999999999E-2</v>
          </cell>
          <cell r="J1064">
            <v>2.4199999999999999E-2</v>
          </cell>
        </row>
        <row r="1065">
          <cell r="B1065" t="str">
            <v>CH-04</v>
          </cell>
          <cell r="C1065" t="str">
            <v>ESP</v>
          </cell>
          <cell r="D1065">
            <v>44669</v>
          </cell>
          <cell r="E1065">
            <v>0.40972222222222227</v>
          </cell>
          <cell r="F1065">
            <v>5.1999999999999998E-3</v>
          </cell>
          <cell r="G1065"/>
          <cell r="H1065">
            <v>7.6E-3</v>
          </cell>
          <cell r="I1065">
            <v>5.79E-2</v>
          </cell>
          <cell r="J1065">
            <v>4.4299999999999999E-2</v>
          </cell>
        </row>
        <row r="1066">
          <cell r="B1066" t="str">
            <v>MN-78</v>
          </cell>
          <cell r="C1066" t="str">
            <v>ESP</v>
          </cell>
          <cell r="D1066">
            <v>44669</v>
          </cell>
          <cell r="E1066" t="str">
            <v>13.28</v>
          </cell>
          <cell r="F1066">
            <v>2.63E-2</v>
          </cell>
          <cell r="G1066"/>
          <cell r="H1066">
            <v>7.7799999999999994E-2</v>
          </cell>
          <cell r="I1066">
            <v>0.53779999999999994</v>
          </cell>
          <cell r="J1066">
            <v>0.17230000000000001</v>
          </cell>
        </row>
        <row r="1067">
          <cell r="B1067" t="str">
            <v>LY-159</v>
          </cell>
          <cell r="C1067" t="str">
            <v>ESP</v>
          </cell>
          <cell r="D1067">
            <v>44669</v>
          </cell>
          <cell r="E1067">
            <v>0.56458333333333333</v>
          </cell>
          <cell r="F1067">
            <v>1.6299999999999999E-2</v>
          </cell>
          <cell r="G1067"/>
          <cell r="H1067">
            <v>2.58E-2</v>
          </cell>
          <cell r="I1067">
            <v>1.6299999999999999E-2</v>
          </cell>
          <cell r="J1067">
            <v>1.78E-2</v>
          </cell>
        </row>
        <row r="1068">
          <cell r="B1068" t="str">
            <v>LY-264</v>
          </cell>
          <cell r="C1068" t="str">
            <v>ESP</v>
          </cell>
          <cell r="D1068">
            <v>44670</v>
          </cell>
          <cell r="E1068">
            <v>0.46319444444444446</v>
          </cell>
          <cell r="F1068">
            <v>1.8E-3</v>
          </cell>
          <cell r="G1068"/>
          <cell r="H1068">
            <v>5.8599999999999999E-2</v>
          </cell>
          <cell r="I1068">
            <v>0.23039999999999999</v>
          </cell>
          <cell r="J1068">
            <v>0.27810000000000001</v>
          </cell>
        </row>
        <row r="1069">
          <cell r="B1069"/>
          <cell r="C1069"/>
          <cell r="D1069">
            <v>44671</v>
          </cell>
          <cell r="E1069">
            <v>0.59930555555555554</v>
          </cell>
          <cell r="F1069">
            <v>8.6999999999999994E-3</v>
          </cell>
          <cell r="G1069"/>
          <cell r="H1069">
            <v>0.1047</v>
          </cell>
          <cell r="I1069">
            <v>0.2276</v>
          </cell>
          <cell r="J1069">
            <v>0.1104</v>
          </cell>
        </row>
        <row r="1070">
          <cell r="B1070" t="str">
            <v>LY-028</v>
          </cell>
          <cell r="C1070" t="str">
            <v>ESP</v>
          </cell>
          <cell r="D1070">
            <v>44670</v>
          </cell>
          <cell r="E1070">
            <v>0.49305555555555558</v>
          </cell>
          <cell r="F1070">
            <v>3.4200000000000001E-2</v>
          </cell>
          <cell r="G1070"/>
          <cell r="H1070">
            <v>7.0300000000000001E-2</v>
          </cell>
          <cell r="I1070">
            <v>2.6700000000000002E-2</v>
          </cell>
          <cell r="J1070">
            <v>4.0800000000000003E-2</v>
          </cell>
        </row>
        <row r="1071">
          <cell r="B1071"/>
          <cell r="C1071" t="str">
            <v>ESP</v>
          </cell>
          <cell r="D1071">
            <v>44671</v>
          </cell>
          <cell r="E1071">
            <v>0.64027777777777783</v>
          </cell>
          <cell r="F1071">
            <v>5.7999999999999996E-3</v>
          </cell>
          <cell r="G1071"/>
          <cell r="H1071">
            <v>5.1999999999999998E-3</v>
          </cell>
          <cell r="I1071">
            <v>2.6499999999999999E-2</v>
          </cell>
          <cell r="J1071">
            <v>6.3E-3</v>
          </cell>
        </row>
        <row r="1072">
          <cell r="B1072" t="str">
            <v>LY-264</v>
          </cell>
          <cell r="C1072" t="str">
            <v>ESP</v>
          </cell>
          <cell r="D1072">
            <v>44672</v>
          </cell>
          <cell r="E1072">
            <v>0.3923611111111111</v>
          </cell>
          <cell r="F1072">
            <v>7.7999999999999996E-3</v>
          </cell>
          <cell r="G1072"/>
          <cell r="H1072">
            <v>4.8399999999999999E-2</v>
          </cell>
          <cell r="I1072">
            <v>7.8899999999999998E-2</v>
          </cell>
          <cell r="J1072">
            <v>8.7800000000000003E-2</v>
          </cell>
        </row>
        <row r="1073">
          <cell r="B1073" t="str">
            <v>LY-028</v>
          </cell>
          <cell r="C1073" t="str">
            <v>ESP</v>
          </cell>
          <cell r="D1073">
            <v>44672</v>
          </cell>
          <cell r="E1073">
            <v>0.3576388888888889</v>
          </cell>
          <cell r="F1073">
            <v>3.0000000000000001E-3</v>
          </cell>
          <cell r="G1073"/>
          <cell r="H1073">
            <v>4.5999999999999999E-3</v>
          </cell>
          <cell r="I1073">
            <v>1.24E-2</v>
          </cell>
          <cell r="J1073">
            <v>6.4999999999999997E-3</v>
          </cell>
        </row>
        <row r="1074">
          <cell r="B1074" t="str">
            <v>LY-028</v>
          </cell>
          <cell r="C1074" t="str">
            <v>ESP</v>
          </cell>
          <cell r="D1074">
            <v>44673</v>
          </cell>
          <cell r="E1074">
            <v>0.40277777777777773</v>
          </cell>
          <cell r="F1074">
            <v>4.4999999999999997E-3</v>
          </cell>
          <cell r="G1074"/>
          <cell r="H1074">
            <v>3.3E-3</v>
          </cell>
          <cell r="I1074">
            <v>4.0000000000000001E-3</v>
          </cell>
          <cell r="J1074">
            <v>1.2800000000000001E-2</v>
          </cell>
        </row>
        <row r="1075">
          <cell r="B1075" t="str">
            <v>MN-78</v>
          </cell>
          <cell r="C1075" t="str">
            <v>ESP</v>
          </cell>
          <cell r="D1075">
            <v>44673</v>
          </cell>
          <cell r="E1075">
            <v>0.3888888888888889</v>
          </cell>
          <cell r="F1075">
            <v>1.9300000000000001E-2</v>
          </cell>
          <cell r="G1075"/>
          <cell r="H1075">
            <v>0.1905</v>
          </cell>
          <cell r="I1075">
            <v>0.81210000000000004</v>
          </cell>
          <cell r="J1075">
            <v>0.38379999999999997</v>
          </cell>
        </row>
        <row r="1076">
          <cell r="B1076" t="str">
            <v>MN-X-005</v>
          </cell>
          <cell r="C1076" t="str">
            <v>ESP</v>
          </cell>
          <cell r="D1076">
            <v>44673</v>
          </cell>
          <cell r="E1076">
            <v>0.57638888888888895</v>
          </cell>
          <cell r="F1076">
            <v>8.5000000000000006E-3</v>
          </cell>
          <cell r="G1076"/>
          <cell r="H1076">
            <v>1.67E-2</v>
          </cell>
          <cell r="I1076">
            <v>7.0999999999999994E-2</v>
          </cell>
          <cell r="J1076">
            <v>2.3199999999999998E-2</v>
          </cell>
        </row>
        <row r="1077">
          <cell r="B1077" t="str">
            <v>MN-79</v>
          </cell>
          <cell r="C1077" t="str">
            <v>ESP</v>
          </cell>
          <cell r="D1077">
            <v>44676</v>
          </cell>
          <cell r="E1077">
            <v>0.35902777777777778</v>
          </cell>
          <cell r="F1077">
            <v>2.3E-3</v>
          </cell>
          <cell r="G1077"/>
          <cell r="H1077">
            <v>9.5999999999999992E-3</v>
          </cell>
          <cell r="I1077">
            <v>2.0299999999999999E-2</v>
          </cell>
          <cell r="J1077">
            <v>2.0500000000000001E-2</v>
          </cell>
        </row>
        <row r="1078">
          <cell r="B1078" t="str">
            <v>MN-73</v>
          </cell>
          <cell r="C1078" t="str">
            <v>ESP</v>
          </cell>
          <cell r="D1078">
            <v>44676</v>
          </cell>
          <cell r="E1078">
            <v>0.36388888888888887</v>
          </cell>
          <cell r="F1078">
            <v>2.0999999999999999E-3</v>
          </cell>
          <cell r="G1078"/>
          <cell r="H1078">
            <v>1.8E-3</v>
          </cell>
          <cell r="I1078">
            <v>9.5999999999999992E-3</v>
          </cell>
          <cell r="J1078">
            <v>7.1999999999999998E-3</v>
          </cell>
        </row>
        <row r="1079">
          <cell r="B1079" t="str">
            <v>MN-55</v>
          </cell>
          <cell r="C1079" t="str">
            <v>ESP</v>
          </cell>
          <cell r="D1079">
            <v>44676</v>
          </cell>
          <cell r="E1079">
            <v>0.56597222222222221</v>
          </cell>
          <cell r="F1079">
            <v>5.8999999999999999E-3</v>
          </cell>
          <cell r="G1079"/>
          <cell r="H1079">
            <v>3.8E-3</v>
          </cell>
          <cell r="I1079">
            <v>3.8999999999999998E-3</v>
          </cell>
          <cell r="J1079">
            <v>6.4999999999999997E-3</v>
          </cell>
        </row>
        <row r="1080">
          <cell r="B1080" t="str">
            <v>MN-56</v>
          </cell>
          <cell r="C1080" t="str">
            <v>ESP</v>
          </cell>
          <cell r="D1080">
            <v>44676</v>
          </cell>
          <cell r="E1080">
            <v>0.56944444444444442</v>
          </cell>
          <cell r="F1080">
            <v>4.1000000000000003E-3</v>
          </cell>
          <cell r="G1080"/>
          <cell r="H1080">
            <v>2E-3</v>
          </cell>
          <cell r="I1080">
            <v>1.2999999999999999E-2</v>
          </cell>
          <cell r="J1080">
            <v>7.1999999999999998E-3</v>
          </cell>
        </row>
        <row r="1081">
          <cell r="B1081" t="str">
            <v>CL-36</v>
          </cell>
          <cell r="C1081" t="str">
            <v>ESP</v>
          </cell>
          <cell r="D1081">
            <v>44677</v>
          </cell>
          <cell r="E1081">
            <v>0.39166666666666666</v>
          </cell>
          <cell r="F1081">
            <v>2.5399999999999999E-2</v>
          </cell>
          <cell r="G1081"/>
          <cell r="H1081">
            <v>0.17899999999999999</v>
          </cell>
          <cell r="I1081">
            <v>0.4375</v>
          </cell>
          <cell r="J1081">
            <v>0.22789999999999999</v>
          </cell>
        </row>
        <row r="1082">
          <cell r="B1082" t="str">
            <v>CL-47</v>
          </cell>
          <cell r="C1082" t="str">
            <v>ESP</v>
          </cell>
          <cell r="D1082">
            <v>44677</v>
          </cell>
          <cell r="E1082">
            <v>0.39444444444444443</v>
          </cell>
          <cell r="F1082">
            <v>1.5E-3</v>
          </cell>
          <cell r="G1082"/>
          <cell r="H1082">
            <v>3.5000000000000001E-3</v>
          </cell>
          <cell r="I1082">
            <v>5.7999999999999996E-3</v>
          </cell>
          <cell r="J1082">
            <v>3.3E-3</v>
          </cell>
        </row>
        <row r="1083">
          <cell r="B1083" t="str">
            <v>CL-26</v>
          </cell>
          <cell r="C1083" t="str">
            <v>ESP</v>
          </cell>
          <cell r="D1083">
            <v>44677</v>
          </cell>
          <cell r="E1083">
            <v>0.60277777777777775</v>
          </cell>
          <cell r="F1083">
            <v>3.5000000000000001E-3</v>
          </cell>
          <cell r="G1083"/>
          <cell r="H1083">
            <v>2.6599999999999999E-2</v>
          </cell>
          <cell r="I1083">
            <v>0.20480000000000001</v>
          </cell>
          <cell r="J1083">
            <v>3.1099999999999999E-2</v>
          </cell>
        </row>
        <row r="1084">
          <cell r="B1084" t="str">
            <v>CL-20</v>
          </cell>
          <cell r="C1084" t="str">
            <v>ESP</v>
          </cell>
          <cell r="D1084">
            <v>44677</v>
          </cell>
          <cell r="E1084">
            <v>0.60763888888888895</v>
          </cell>
          <cell r="F1084">
            <v>5.1999999999999998E-3</v>
          </cell>
          <cell r="G1084"/>
          <cell r="H1084">
            <v>3.0000000000000001E-3</v>
          </cell>
          <cell r="I1084">
            <v>4.1000000000000003E-3</v>
          </cell>
          <cell r="J1084">
            <v>3.7000000000000002E-3</v>
          </cell>
        </row>
        <row r="1085">
          <cell r="B1085" t="str">
            <v>CL-23</v>
          </cell>
          <cell r="C1085" t="str">
            <v>ESP</v>
          </cell>
          <cell r="D1085">
            <v>44678</v>
          </cell>
          <cell r="E1085">
            <v>0.35625000000000001</v>
          </cell>
          <cell r="F1085">
            <v>5.7000000000000002E-3</v>
          </cell>
          <cell r="G1085"/>
          <cell r="H1085">
            <v>8.8999999999999999E-3</v>
          </cell>
          <cell r="I1085">
            <v>2.5600000000000001E-2</v>
          </cell>
          <cell r="J1085">
            <v>1.8100000000000002E-2</v>
          </cell>
        </row>
        <row r="1086">
          <cell r="B1086" t="str">
            <v>CL-42</v>
          </cell>
          <cell r="C1086" t="str">
            <v>ESP</v>
          </cell>
          <cell r="D1086">
            <v>44678</v>
          </cell>
          <cell r="E1086">
            <v>0.36805555555555558</v>
          </cell>
          <cell r="F1086">
            <v>2.3999999999999998E-3</v>
          </cell>
          <cell r="G1086"/>
          <cell r="H1086">
            <v>4.0000000000000001E-3</v>
          </cell>
          <cell r="I1086">
            <v>7.0000000000000001E-3</v>
          </cell>
          <cell r="J1086">
            <v>9.4000000000000004E-3</v>
          </cell>
        </row>
        <row r="1087">
          <cell r="B1087" t="str">
            <v>CL-43</v>
          </cell>
          <cell r="C1087" t="str">
            <v>BM</v>
          </cell>
          <cell r="D1087">
            <v>44678</v>
          </cell>
          <cell r="E1087">
            <v>0.57986111111111105</v>
          </cell>
          <cell r="F1087">
            <v>3.8999999999999998E-3</v>
          </cell>
          <cell r="G1087"/>
          <cell r="H1087">
            <v>8.8000000000000005E-3</v>
          </cell>
          <cell r="I1087">
            <v>1.55E-2</v>
          </cell>
          <cell r="J1087">
            <v>8.6999999999999994E-3</v>
          </cell>
        </row>
        <row r="1088">
          <cell r="B1088" t="str">
            <v>CL-41</v>
          </cell>
          <cell r="C1088" t="str">
            <v>ESP</v>
          </cell>
          <cell r="D1088">
            <v>44678</v>
          </cell>
          <cell r="E1088">
            <v>0.58194444444444449</v>
          </cell>
          <cell r="F1088">
            <v>1.9E-3</v>
          </cell>
          <cell r="G1088"/>
          <cell r="H1088">
            <v>7.1999999999999998E-3</v>
          </cell>
          <cell r="I1088">
            <v>1.2800000000000001E-2</v>
          </cell>
          <cell r="J1088">
            <v>1.38E-2</v>
          </cell>
        </row>
        <row r="1089">
          <cell r="B1089" t="str">
            <v>CL-30</v>
          </cell>
          <cell r="C1089" t="str">
            <v>ESP</v>
          </cell>
          <cell r="D1089">
            <v>44679</v>
          </cell>
          <cell r="E1089">
            <v>0.36458333333333331</v>
          </cell>
          <cell r="F1089">
            <v>3.5999999999999999E-3</v>
          </cell>
          <cell r="G1089"/>
          <cell r="H1089">
            <v>2.5399999999999999E-2</v>
          </cell>
          <cell r="I1089">
            <v>2.5399999999999999E-2</v>
          </cell>
          <cell r="J1089">
            <v>1.2999999999999999E-2</v>
          </cell>
        </row>
        <row r="1090">
          <cell r="B1090" t="str">
            <v>CL-49</v>
          </cell>
          <cell r="C1090" t="str">
            <v>ESP</v>
          </cell>
          <cell r="D1090">
            <v>44679</v>
          </cell>
          <cell r="E1090">
            <v>0.36944444444444446</v>
          </cell>
          <cell r="F1090">
            <v>2.5999999999999999E-3</v>
          </cell>
          <cell r="G1090"/>
          <cell r="H1090">
            <v>6.6E-3</v>
          </cell>
          <cell r="I1090">
            <v>2.4899999999999999E-2</v>
          </cell>
          <cell r="J1090">
            <v>1.12E-2</v>
          </cell>
        </row>
        <row r="1091">
          <cell r="B1091" t="str">
            <v>CL-33</v>
          </cell>
          <cell r="C1091" t="str">
            <v>BM</v>
          </cell>
          <cell r="D1091">
            <v>44679</v>
          </cell>
          <cell r="E1091">
            <v>0.56944444444444442</v>
          </cell>
          <cell r="F1091">
            <v>3.2000000000000002E-3</v>
          </cell>
          <cell r="G1091"/>
          <cell r="H1091">
            <v>4.7999999999999996E-3</v>
          </cell>
          <cell r="I1091">
            <v>3.9600000000000003E-2</v>
          </cell>
          <cell r="J1091">
            <v>1.4800000000000001E-2</v>
          </cell>
        </row>
        <row r="1092">
          <cell r="B1092" t="str">
            <v>CL-24</v>
          </cell>
          <cell r="C1092" t="str">
            <v>BM</v>
          </cell>
          <cell r="D1092">
            <v>44679</v>
          </cell>
          <cell r="E1092">
            <v>0.57291666666666663</v>
          </cell>
          <cell r="F1092">
            <v>2.3E-3</v>
          </cell>
          <cell r="G1092"/>
          <cell r="H1092">
            <v>5.5999999999999999E-3</v>
          </cell>
          <cell r="I1092">
            <v>2.2100000000000002E-2</v>
          </cell>
          <cell r="J1092">
            <v>1.4E-2</v>
          </cell>
        </row>
        <row r="1093">
          <cell r="B1093" t="str">
            <v>LY-090</v>
          </cell>
          <cell r="C1093" t="str">
            <v>ESP</v>
          </cell>
          <cell r="D1093">
            <v>44680</v>
          </cell>
          <cell r="E1093">
            <v>0.35972222222222222</v>
          </cell>
          <cell r="F1093">
            <v>2.7000000000000001E-3</v>
          </cell>
          <cell r="G1093"/>
          <cell r="H1093">
            <v>4.1000000000000003E-3</v>
          </cell>
          <cell r="I1093">
            <v>5.1000000000000004E-3</v>
          </cell>
          <cell r="J1093">
            <v>9.7000000000000003E-3</v>
          </cell>
        </row>
        <row r="1094">
          <cell r="B1094" t="str">
            <v>CY-91</v>
          </cell>
          <cell r="C1094" t="str">
            <v>ESP</v>
          </cell>
          <cell r="D1094">
            <v>44680</v>
          </cell>
          <cell r="E1094">
            <v>0.36458333333333331</v>
          </cell>
          <cell r="F1094">
            <v>1.6000000000000001E-3</v>
          </cell>
          <cell r="G1094"/>
          <cell r="H1094">
            <v>3.0999999999999999E-3</v>
          </cell>
          <cell r="I1094">
            <v>1.2E-2</v>
          </cell>
          <cell r="J1094">
            <v>4.58E-2</v>
          </cell>
        </row>
        <row r="1095">
          <cell r="B1095" t="str">
            <v>LY-020</v>
          </cell>
          <cell r="C1095" t="str">
            <v>ESP</v>
          </cell>
          <cell r="D1095">
            <v>44680</v>
          </cell>
          <cell r="E1095">
            <v>0.57500000000000007</v>
          </cell>
          <cell r="F1095">
            <v>6.1000000000000004E-3</v>
          </cell>
          <cell r="G1095"/>
          <cell r="H1095">
            <v>8.0000000000000002E-3</v>
          </cell>
          <cell r="I1095">
            <v>9.4000000000000004E-3</v>
          </cell>
          <cell r="J1095">
            <v>1.12E-2</v>
          </cell>
        </row>
        <row r="1096">
          <cell r="B1096" t="str">
            <v>LY-045</v>
          </cell>
          <cell r="C1096" t="str">
            <v>ESP</v>
          </cell>
          <cell r="D1096">
            <v>44680</v>
          </cell>
          <cell r="E1096">
            <v>0.5805555555555556</v>
          </cell>
          <cell r="F1096">
            <v>7.3000000000000001E-3</v>
          </cell>
          <cell r="G1096"/>
          <cell r="H1096">
            <v>3.6600000000000001E-2</v>
          </cell>
          <cell r="I1096">
            <v>6.7100000000000007E-2</v>
          </cell>
          <cell r="J1096">
            <v>4.6300000000000001E-2</v>
          </cell>
        </row>
        <row r="1097">
          <cell r="B1097" t="str">
            <v>CL-35</v>
          </cell>
          <cell r="C1097" t="str">
            <v>ESP</v>
          </cell>
          <cell r="D1097">
            <v>44683</v>
          </cell>
          <cell r="E1097">
            <v>0.375</v>
          </cell>
          <cell r="F1097">
            <v>2.4199999999999999E-2</v>
          </cell>
          <cell r="G1097"/>
          <cell r="H1097">
            <v>0.1065</v>
          </cell>
          <cell r="I1097">
            <v>5.7299999999999997E-2</v>
          </cell>
          <cell r="J1097">
            <v>2.6100000000000002E-2</v>
          </cell>
        </row>
        <row r="1098">
          <cell r="B1098" t="str">
            <v>GLO-01</v>
          </cell>
          <cell r="C1098" t="str">
            <v>ESP</v>
          </cell>
          <cell r="D1098">
            <v>44683</v>
          </cell>
          <cell r="E1098">
            <v>0.37638888888888888</v>
          </cell>
          <cell r="F1098">
            <v>2.3999999999999998E-3</v>
          </cell>
          <cell r="G1098"/>
          <cell r="H1098">
            <v>6.0000000000000001E-3</v>
          </cell>
          <cell r="I1098">
            <v>3.2300000000000002E-2</v>
          </cell>
          <cell r="J1098">
            <v>1.7100000000000001E-2</v>
          </cell>
        </row>
        <row r="1099">
          <cell r="B1099" t="str">
            <v>CL-40</v>
          </cell>
          <cell r="C1099" t="str">
            <v>ESP</v>
          </cell>
          <cell r="D1099">
            <v>44683</v>
          </cell>
          <cell r="E1099">
            <v>0.59027777777777779</v>
          </cell>
          <cell r="F1099">
            <v>7.7999999999999996E-3</v>
          </cell>
          <cell r="G1099"/>
          <cell r="H1099">
            <v>1.38E-2</v>
          </cell>
          <cell r="I1099">
            <v>5.4000000000000003E-3</v>
          </cell>
          <cell r="J1099">
            <v>2.1399999999999999E-2</v>
          </cell>
        </row>
        <row r="1100">
          <cell r="B1100" t="str">
            <v>CL-06</v>
          </cell>
          <cell r="C1100" t="str">
            <v>ESP</v>
          </cell>
          <cell r="D1100">
            <v>44683</v>
          </cell>
          <cell r="E1100">
            <v>0.59722222222222221</v>
          </cell>
          <cell r="F1100">
            <v>2.1000000000000001E-2</v>
          </cell>
          <cell r="G1100"/>
          <cell r="H1100">
            <v>7.9100000000000004E-2</v>
          </cell>
          <cell r="I1100">
            <v>6.3399999999999998E-2</v>
          </cell>
          <cell r="J1100">
            <v>1.77E-2</v>
          </cell>
        </row>
        <row r="1101">
          <cell r="B1101" t="str">
            <v>CL-56</v>
          </cell>
          <cell r="C1101" t="str">
            <v>ESP</v>
          </cell>
          <cell r="D1101">
            <v>44684</v>
          </cell>
          <cell r="E1101">
            <v>0.35694444444444445</v>
          </cell>
          <cell r="F1101">
            <v>6.3E-3</v>
          </cell>
          <cell r="G1101"/>
          <cell r="H1101">
            <v>1.6799999999999999E-2</v>
          </cell>
          <cell r="I1101">
            <v>4.3400000000000001E-2</v>
          </cell>
          <cell r="J1101">
            <v>9.4999999999999998E-3</v>
          </cell>
        </row>
        <row r="1102">
          <cell r="B1102" t="str">
            <v>CL-04</v>
          </cell>
          <cell r="C1102" t="str">
            <v>ESP</v>
          </cell>
          <cell r="D1102">
            <v>44684</v>
          </cell>
          <cell r="E1102">
            <v>0.36041666666666666</v>
          </cell>
          <cell r="F1102">
            <v>7.1000000000000004E-3</v>
          </cell>
          <cell r="G1102"/>
          <cell r="H1102">
            <v>6.6E-3</v>
          </cell>
          <cell r="I1102">
            <v>9.4999999999999998E-3</v>
          </cell>
          <cell r="J1102">
            <v>4.1999999999999997E-3</v>
          </cell>
        </row>
        <row r="1103">
          <cell r="B1103" t="str">
            <v>CL-21</v>
          </cell>
          <cell r="C1103" t="str">
            <v>ESP</v>
          </cell>
          <cell r="D1103">
            <v>44684</v>
          </cell>
          <cell r="E1103">
            <v>0.56597222222222221</v>
          </cell>
          <cell r="F1103">
            <v>2.7000000000000001E-3</v>
          </cell>
          <cell r="G1103"/>
          <cell r="H1103">
            <v>2.4400000000000002E-2</v>
          </cell>
          <cell r="I1103">
            <v>3.7699999999999997E-2</v>
          </cell>
          <cell r="J1103">
            <v>1.11E-2</v>
          </cell>
        </row>
        <row r="1104">
          <cell r="B1104" t="str">
            <v>CY-51</v>
          </cell>
          <cell r="C1104" t="str">
            <v>ESP</v>
          </cell>
          <cell r="D1104">
            <v>44684</v>
          </cell>
          <cell r="E1104">
            <v>0.58333333333333337</v>
          </cell>
          <cell r="F1104">
            <v>1.49E-2</v>
          </cell>
          <cell r="G1104"/>
          <cell r="H1104">
            <v>3.1099999999999999E-2</v>
          </cell>
          <cell r="I1104">
            <v>3.6799999999999999E-2</v>
          </cell>
          <cell r="J1104">
            <v>5.7200000000000001E-2</v>
          </cell>
        </row>
        <row r="1105">
          <cell r="B1105" t="str">
            <v>CL-07</v>
          </cell>
          <cell r="C1105" t="str">
            <v>ESP</v>
          </cell>
          <cell r="D1105">
            <v>44685</v>
          </cell>
          <cell r="E1105">
            <v>0.3527777777777778</v>
          </cell>
          <cell r="F1105">
            <v>2.8E-3</v>
          </cell>
          <cell r="G1105"/>
          <cell r="H1105">
            <v>4.5999999999999999E-3</v>
          </cell>
          <cell r="I1105">
            <v>1.11E-2</v>
          </cell>
          <cell r="J1105">
            <v>1.0699999999999999E-2</v>
          </cell>
        </row>
        <row r="1106">
          <cell r="B1106" t="str">
            <v>CL-11</v>
          </cell>
          <cell r="C1106" t="str">
            <v>ESP</v>
          </cell>
          <cell r="D1106">
            <v>44685</v>
          </cell>
          <cell r="E1106">
            <v>0.36041666666666666</v>
          </cell>
          <cell r="F1106">
            <v>2.1899999999999999E-2</v>
          </cell>
          <cell r="G1106"/>
          <cell r="H1106">
            <v>2.41E-2</v>
          </cell>
          <cell r="I1106">
            <v>2.76E-2</v>
          </cell>
          <cell r="J1106">
            <v>1.78E-2</v>
          </cell>
        </row>
        <row r="1107">
          <cell r="B1107" t="str">
            <v>CL-55</v>
          </cell>
          <cell r="C1107" t="str">
            <v>ESP</v>
          </cell>
          <cell r="D1107">
            <v>44685</v>
          </cell>
          <cell r="E1107">
            <v>0.57708333333333328</v>
          </cell>
          <cell r="F1107">
            <v>3.0000000000000001E-3</v>
          </cell>
          <cell r="G1107"/>
          <cell r="H1107">
            <v>3.8999999999999998E-3</v>
          </cell>
          <cell r="I1107">
            <v>6.1000000000000004E-3</v>
          </cell>
          <cell r="J1107">
            <v>4.7000000000000002E-3</v>
          </cell>
        </row>
        <row r="1108">
          <cell r="B1108" t="str">
            <v>CL-08</v>
          </cell>
          <cell r="C1108" t="str">
            <v>ESP</v>
          </cell>
          <cell r="D1108">
            <v>44685</v>
          </cell>
          <cell r="E1108">
            <v>0.57986111111111105</v>
          </cell>
          <cell r="F1108">
            <v>1.32E-2</v>
          </cell>
          <cell r="G1108"/>
          <cell r="H1108">
            <v>3.1699999999999999E-2</v>
          </cell>
          <cell r="I1108">
            <v>3.4700000000000002E-2</v>
          </cell>
          <cell r="J1108">
            <v>2.3099999999999999E-2</v>
          </cell>
        </row>
        <row r="1109">
          <cell r="B1109" t="str">
            <v>CL-19</v>
          </cell>
          <cell r="C1109" t="str">
            <v>BM</v>
          </cell>
          <cell r="D1109">
            <v>44686</v>
          </cell>
          <cell r="E1109">
            <v>0.35694444444444445</v>
          </cell>
          <cell r="F1109">
            <v>4.8999999999999998E-3</v>
          </cell>
          <cell r="G1109"/>
          <cell r="H1109">
            <v>2.1299999999999999E-2</v>
          </cell>
          <cell r="I1109">
            <v>5.8599999999999999E-2</v>
          </cell>
          <cell r="J1109">
            <v>3.5400000000000001E-2</v>
          </cell>
        </row>
        <row r="1110">
          <cell r="B1110" t="str">
            <v>MN-77ST</v>
          </cell>
          <cell r="C1110" t="str">
            <v>ESP</v>
          </cell>
          <cell r="D1110">
            <v>44686</v>
          </cell>
          <cell r="E1110">
            <v>0.36458333333333331</v>
          </cell>
          <cell r="F1110">
            <v>0.01</v>
          </cell>
          <cell r="G1110"/>
          <cell r="H1110">
            <v>1.4999999999999999E-2</v>
          </cell>
          <cell r="I1110">
            <v>1.0500000000000001E-2</v>
          </cell>
          <cell r="J1110">
            <v>7.6E-3</v>
          </cell>
        </row>
        <row r="1111">
          <cell r="B1111" t="str">
            <v>LY-108</v>
          </cell>
          <cell r="C1111" t="str">
            <v>ESP</v>
          </cell>
          <cell r="D1111">
            <v>44686</v>
          </cell>
          <cell r="E1111">
            <v>0.59027777777777779</v>
          </cell>
          <cell r="F1111">
            <v>2.7000000000000001E-3</v>
          </cell>
          <cell r="G1111"/>
          <cell r="H1111">
            <v>7.7999999999999996E-3</v>
          </cell>
          <cell r="I1111">
            <v>2.2200000000000001E-2</v>
          </cell>
          <cell r="J1111">
            <v>0.04</v>
          </cell>
        </row>
        <row r="1112">
          <cell r="B1112" t="str">
            <v>MN-08</v>
          </cell>
          <cell r="C1112" t="str">
            <v>ESP</v>
          </cell>
          <cell r="D1112">
            <v>44686</v>
          </cell>
          <cell r="E1112">
            <v>0.59513888888888888</v>
          </cell>
          <cell r="F1112">
            <v>8.2000000000000007E-3</v>
          </cell>
          <cell r="G1112"/>
          <cell r="H1112">
            <v>2.8000000000000001E-2</v>
          </cell>
          <cell r="I1112">
            <v>4.6600000000000003E-2</v>
          </cell>
          <cell r="J1112">
            <v>1.8599999999999998E-2</v>
          </cell>
        </row>
        <row r="1113">
          <cell r="B1113" t="str">
            <v>MN-67</v>
          </cell>
          <cell r="C1113" t="str">
            <v>ESP</v>
          </cell>
          <cell r="D1113">
            <v>44687</v>
          </cell>
          <cell r="E1113">
            <v>0.39166666666666666</v>
          </cell>
          <cell r="F1113">
            <v>1.1999999999999999E-3</v>
          </cell>
          <cell r="G1113"/>
          <cell r="H1113">
            <v>1.12E-2</v>
          </cell>
          <cell r="I1113">
            <v>2.5600000000000001E-2</v>
          </cell>
          <cell r="J1113">
            <v>3.0700000000000002E-2</v>
          </cell>
        </row>
        <row r="1114">
          <cell r="B1114" t="str">
            <v>MN-45</v>
          </cell>
          <cell r="C1114" t="str">
            <v>ESP</v>
          </cell>
          <cell r="D1114">
            <v>44687</v>
          </cell>
          <cell r="E1114">
            <v>0.39513888888888887</v>
          </cell>
          <cell r="F1114">
            <v>9.1999999999999998E-3</v>
          </cell>
          <cell r="G1114"/>
          <cell r="H1114">
            <v>1.17E-2</v>
          </cell>
          <cell r="I1114">
            <v>2.0199999999999999E-2</v>
          </cell>
          <cell r="J1114">
            <v>1.2800000000000001E-2</v>
          </cell>
        </row>
        <row r="1115">
          <cell r="B1115" t="str">
            <v>MN-96</v>
          </cell>
          <cell r="C1115" t="str">
            <v>BM</v>
          </cell>
          <cell r="D1115">
            <v>44687</v>
          </cell>
          <cell r="E1115">
            <v>0.5854166666666667</v>
          </cell>
          <cell r="F1115">
            <v>1.2999999999999999E-3</v>
          </cell>
          <cell r="G1115"/>
          <cell r="H1115">
            <v>1.6999999999999999E-3</v>
          </cell>
          <cell r="I1115">
            <v>1.03E-2</v>
          </cell>
          <cell r="J1115">
            <v>7.0000000000000001E-3</v>
          </cell>
        </row>
        <row r="1116">
          <cell r="B1116" t="str">
            <v>LY-274</v>
          </cell>
          <cell r="C1116" t="str">
            <v>ESP</v>
          </cell>
          <cell r="D1116">
            <v>44687</v>
          </cell>
          <cell r="E1116">
            <v>0.59652777777777777</v>
          </cell>
          <cell r="F1116">
            <v>8.0000000000000002E-3</v>
          </cell>
          <cell r="G1116"/>
          <cell r="H1116">
            <v>1.35E-2</v>
          </cell>
          <cell r="I1116">
            <v>1.84E-2</v>
          </cell>
          <cell r="J1116">
            <v>1.4999999999999999E-2</v>
          </cell>
        </row>
        <row r="1117">
          <cell r="B1117" t="str">
            <v>LY-255</v>
          </cell>
          <cell r="C1117" t="str">
            <v>ESP</v>
          </cell>
          <cell r="D1117">
            <v>44690</v>
          </cell>
          <cell r="E1117">
            <v>0.38194444444444442</v>
          </cell>
          <cell r="F1117">
            <v>5.4000000000000003E-3</v>
          </cell>
          <cell r="G1117"/>
          <cell r="H1117">
            <v>5.5999999999999999E-3</v>
          </cell>
          <cell r="I1117">
            <v>1.84E-2</v>
          </cell>
          <cell r="J1117">
            <v>8.5000000000000006E-3</v>
          </cell>
        </row>
        <row r="1118">
          <cell r="B1118" t="str">
            <v>LY-087</v>
          </cell>
          <cell r="C1118" t="str">
            <v>ESP</v>
          </cell>
          <cell r="D1118">
            <v>44690</v>
          </cell>
          <cell r="E1118">
            <v>0.3888888888888889</v>
          </cell>
          <cell r="F1118">
            <v>6.7999999999999996E-3</v>
          </cell>
          <cell r="G1118"/>
          <cell r="H1118">
            <v>3.7000000000000002E-3</v>
          </cell>
          <cell r="I1118">
            <v>4.7999999999999996E-3</v>
          </cell>
          <cell r="J1118">
            <v>3.3999999999999998E-3</v>
          </cell>
        </row>
        <row r="1119">
          <cell r="B1119" t="str">
            <v>LY-027</v>
          </cell>
          <cell r="C1119" t="str">
            <v>ESP</v>
          </cell>
          <cell r="D1119">
            <v>44690</v>
          </cell>
          <cell r="E1119">
            <v>0.59722222222222221</v>
          </cell>
          <cell r="F1119">
            <v>5.4000000000000003E-3</v>
          </cell>
          <cell r="G1119"/>
          <cell r="H1119">
            <v>3.2399999999999998E-2</v>
          </cell>
          <cell r="I1119">
            <v>1.9E-2</v>
          </cell>
          <cell r="J1119">
            <v>1.2E-2</v>
          </cell>
        </row>
        <row r="1120">
          <cell r="B1120" t="str">
            <v>MN-29</v>
          </cell>
          <cell r="C1120" t="str">
            <v>ESP</v>
          </cell>
          <cell r="D1120">
            <v>44690</v>
          </cell>
          <cell r="E1120">
            <v>0.61111111111111105</v>
          </cell>
          <cell r="F1120">
            <v>6.4000000000000003E-3</v>
          </cell>
          <cell r="G1120"/>
          <cell r="H1120">
            <v>4.6300000000000001E-2</v>
          </cell>
          <cell r="I1120">
            <v>4.58E-2</v>
          </cell>
          <cell r="J1120">
            <v>0.1792</v>
          </cell>
        </row>
        <row r="1121">
          <cell r="B1121" t="str">
            <v>LY-180</v>
          </cell>
          <cell r="C1121" t="str">
            <v>ESP</v>
          </cell>
          <cell r="D1121">
            <v>44691</v>
          </cell>
          <cell r="E1121">
            <v>0.4152777777777778</v>
          </cell>
          <cell r="F1121">
            <v>6.7375999999999996</v>
          </cell>
          <cell r="G1121"/>
          <cell r="H1121">
            <v>1.4319999999999999</v>
          </cell>
          <cell r="I1121">
            <v>0.82199999999999995</v>
          </cell>
          <cell r="J1121">
            <v>0.19980000000000001</v>
          </cell>
        </row>
        <row r="1122">
          <cell r="B1122" t="str">
            <v>MN-78</v>
          </cell>
          <cell r="C1122" t="str">
            <v>ESP</v>
          </cell>
          <cell r="D1122">
            <v>44691</v>
          </cell>
          <cell r="E1122">
            <v>0.3923611111111111</v>
          </cell>
          <cell r="F1122">
            <v>6.1000000000000004E-3</v>
          </cell>
          <cell r="G1122"/>
          <cell r="H1122">
            <v>3.0099999999999998E-2</v>
          </cell>
          <cell r="I1122">
            <v>0.28029999999999999</v>
          </cell>
          <cell r="J1122">
            <v>0.3352</v>
          </cell>
        </row>
        <row r="1123">
          <cell r="B1123" t="str">
            <v>LY-030</v>
          </cell>
          <cell r="C1123" t="str">
            <v>ESP</v>
          </cell>
          <cell r="D1123">
            <v>44692</v>
          </cell>
          <cell r="E1123">
            <v>0.375</v>
          </cell>
          <cell r="F1123">
            <v>3.8199999999999998E-2</v>
          </cell>
          <cell r="G1123"/>
          <cell r="H1123">
            <v>0.1915</v>
          </cell>
          <cell r="I1123">
            <v>0.17269999999999999</v>
          </cell>
          <cell r="J1123">
            <v>2.9899999999999999E-2</v>
          </cell>
        </row>
        <row r="1124">
          <cell r="B1124" t="str">
            <v>CL-002</v>
          </cell>
          <cell r="C1124" t="str">
            <v>ESP</v>
          </cell>
          <cell r="D1124">
            <v>44692</v>
          </cell>
          <cell r="E1124">
            <v>0.38750000000000001</v>
          </cell>
          <cell r="F1124">
            <v>4.6399999999999997E-2</v>
          </cell>
          <cell r="G1124"/>
          <cell r="H1124">
            <v>2.1000000000000001E-2</v>
          </cell>
          <cell r="I1124">
            <v>2.29E-2</v>
          </cell>
          <cell r="J1124">
            <v>1.2800000000000001E-2</v>
          </cell>
        </row>
        <row r="1125">
          <cell r="B1125"/>
          <cell r="C1125"/>
          <cell r="D1125">
            <v>44693</v>
          </cell>
          <cell r="E1125">
            <v>0.38194444444444442</v>
          </cell>
          <cell r="F1125">
            <v>1.49E-2</v>
          </cell>
          <cell r="G1125"/>
          <cell r="H1125">
            <v>8.5000000000000006E-3</v>
          </cell>
          <cell r="I1125">
            <v>1.1599999999999999E-2</v>
          </cell>
          <cell r="J1125">
            <v>7.3000000000000001E-3</v>
          </cell>
        </row>
        <row r="1126">
          <cell r="B1126"/>
          <cell r="C1126"/>
          <cell r="D1126">
            <v>44694</v>
          </cell>
          <cell r="E1126">
            <v>0.35902777777777778</v>
          </cell>
          <cell r="F1126">
            <v>2.52E-2</v>
          </cell>
          <cell r="G1126"/>
          <cell r="H1126">
            <v>5.5500000000000001E-2</v>
          </cell>
          <cell r="I1126">
            <v>3.9600000000000003E-2</v>
          </cell>
          <cell r="J1126">
            <v>2.4899999999999999E-2</v>
          </cell>
        </row>
        <row r="1127">
          <cell r="B1127" t="str">
            <v>LY-282</v>
          </cell>
          <cell r="C1127" t="str">
            <v>ESP</v>
          </cell>
          <cell r="D1127">
            <v>44692</v>
          </cell>
          <cell r="E1127">
            <v>0.59444444444444444</v>
          </cell>
          <cell r="F1127">
            <v>1.12E-2</v>
          </cell>
          <cell r="G1127"/>
          <cell r="H1127">
            <v>1.2999999999999999E-2</v>
          </cell>
          <cell r="I1127">
            <v>1.4200000000000001E-2</v>
          </cell>
          <cell r="J1127">
            <v>7.7000000000000002E-3</v>
          </cell>
        </row>
        <row r="1128">
          <cell r="B1128" t="str">
            <v>LY-117</v>
          </cell>
          <cell r="C1128" t="str">
            <v>ESP</v>
          </cell>
          <cell r="D1128">
            <v>44693</v>
          </cell>
          <cell r="E1128">
            <v>0.3354166666666667</v>
          </cell>
          <cell r="F1128">
            <v>3.6200000000000003E-2</v>
          </cell>
          <cell r="G1128"/>
          <cell r="H1128">
            <v>5.0299999999999997E-2</v>
          </cell>
          <cell r="I1128">
            <v>2.0799999999999999E-2</v>
          </cell>
          <cell r="J1128">
            <v>9.7000000000000003E-3</v>
          </cell>
        </row>
        <row r="1129">
          <cell r="B1129" t="str">
            <v>LY- 070</v>
          </cell>
          <cell r="C1129" t="str">
            <v>ESP</v>
          </cell>
          <cell r="D1129">
            <v>44694</v>
          </cell>
          <cell r="E1129">
            <v>0.30277777777777776</v>
          </cell>
          <cell r="F1129">
            <v>1.4E-3</v>
          </cell>
          <cell r="G1129">
            <v>1.5E-3</v>
          </cell>
          <cell r="H1129">
            <v>1.5E-3</v>
          </cell>
          <cell r="I1129">
            <v>0.01</v>
          </cell>
          <cell r="J1129">
            <v>3.0200000000000001E-2</v>
          </cell>
        </row>
        <row r="1130">
          <cell r="B1130" t="str">
            <v>LY- 263</v>
          </cell>
          <cell r="C1130" t="str">
            <v>ESP</v>
          </cell>
          <cell r="D1130">
            <v>44694</v>
          </cell>
          <cell r="E1130">
            <v>0.33194444444444443</v>
          </cell>
          <cell r="F1130">
            <v>8.8000000000000005E-3</v>
          </cell>
          <cell r="G1130">
            <v>1.5E-3</v>
          </cell>
          <cell r="H1130">
            <v>4.1000000000000003E-3</v>
          </cell>
          <cell r="I1130">
            <v>2.4400000000000002E-2</v>
          </cell>
          <cell r="J1130">
            <v>2.07E-2</v>
          </cell>
        </row>
        <row r="1131">
          <cell r="B1131" t="str">
            <v>CY-83</v>
          </cell>
          <cell r="C1131" t="str">
            <v>ESP</v>
          </cell>
          <cell r="D1131">
            <v>44694</v>
          </cell>
          <cell r="E1131">
            <v>0.57986111111111105</v>
          </cell>
          <cell r="F1131">
            <v>1.0699999999999999E-2</v>
          </cell>
          <cell r="G1131">
            <v>1.5E-3</v>
          </cell>
          <cell r="H1131">
            <v>1.1599999999999999E-2</v>
          </cell>
          <cell r="I1131">
            <v>5.8999999999999999E-3</v>
          </cell>
          <cell r="J1131">
            <v>1.1999999999999999E-3</v>
          </cell>
        </row>
        <row r="1132">
          <cell r="B1132" t="str">
            <v>CY- 16</v>
          </cell>
          <cell r="C1132" t="str">
            <v>ESP</v>
          </cell>
          <cell r="D1132">
            <v>44697</v>
          </cell>
          <cell r="E1132">
            <v>0.3611111111111111</v>
          </cell>
          <cell r="F1132">
            <v>9.9000000000000008E-3</v>
          </cell>
          <cell r="G1132">
            <v>1.5E-3</v>
          </cell>
          <cell r="H1132">
            <v>3.04E-2</v>
          </cell>
          <cell r="I1132">
            <v>7.0599999999999996E-2</v>
          </cell>
          <cell r="J1132">
            <v>2.81E-2</v>
          </cell>
        </row>
        <row r="1133">
          <cell r="B1133" t="str">
            <v>CL-002</v>
          </cell>
          <cell r="C1133" t="str">
            <v>ESP</v>
          </cell>
          <cell r="D1133">
            <v>44697</v>
          </cell>
          <cell r="E1133">
            <v>0.38541666666666669</v>
          </cell>
          <cell r="F1133">
            <v>1.2999999999999999E-3</v>
          </cell>
          <cell r="G1133"/>
          <cell r="H1133">
            <v>1.9E-3</v>
          </cell>
          <cell r="I1133">
            <v>4.3E-3</v>
          </cell>
          <cell r="J1133">
            <v>3.8E-3</v>
          </cell>
        </row>
        <row r="1134">
          <cell r="B1134" t="str">
            <v>CY-14</v>
          </cell>
          <cell r="C1134" t="str">
            <v>ESP</v>
          </cell>
          <cell r="D1134">
            <v>44697</v>
          </cell>
          <cell r="E1134">
            <v>0.57638888888888895</v>
          </cell>
          <cell r="F1134">
            <v>4.6800000000000001E-2</v>
          </cell>
          <cell r="G1134">
            <v>1.5E-3</v>
          </cell>
          <cell r="H1134">
            <v>0.14940000000000001</v>
          </cell>
          <cell r="I1134">
            <v>0.1145</v>
          </cell>
          <cell r="J1134">
            <v>2.0500000000000001E-2</v>
          </cell>
        </row>
        <row r="1135">
          <cell r="B1135" t="str">
            <v>CY- 78</v>
          </cell>
          <cell r="C1135" t="str">
            <v>ESP</v>
          </cell>
          <cell r="D1135">
            <v>44698</v>
          </cell>
          <cell r="E1135">
            <v>0.3263888888888889</v>
          </cell>
          <cell r="F1135">
            <v>8.6999999999999994E-3</v>
          </cell>
          <cell r="G1135">
            <v>1.5E-3</v>
          </cell>
          <cell r="H1135">
            <v>1.7600000000000001E-2</v>
          </cell>
          <cell r="I1135">
            <v>4.3E-3</v>
          </cell>
          <cell r="J1135">
            <v>6.3E-3</v>
          </cell>
        </row>
        <row r="1136">
          <cell r="B1136" t="str">
            <v>CY- 67</v>
          </cell>
          <cell r="C1136" t="str">
            <v>ESP</v>
          </cell>
          <cell r="D1136">
            <v>44698</v>
          </cell>
          <cell r="E1136">
            <v>0.56944444444444442</v>
          </cell>
          <cell r="F1136">
            <v>9.1999999999999998E-3</v>
          </cell>
          <cell r="G1136">
            <v>1.5E-3</v>
          </cell>
          <cell r="H1136">
            <v>1.26E-2</v>
          </cell>
          <cell r="I1136">
            <v>2.52E-2</v>
          </cell>
          <cell r="J1136">
            <v>1.18E-2</v>
          </cell>
        </row>
        <row r="1137">
          <cell r="B1137" t="str">
            <v>CL-002</v>
          </cell>
          <cell r="C1137" t="str">
            <v>ESP</v>
          </cell>
          <cell r="D1137">
            <v>44698</v>
          </cell>
          <cell r="E1137">
            <v>0.3527777777777778</v>
          </cell>
          <cell r="F1137">
            <v>1.4E-3</v>
          </cell>
          <cell r="G1137"/>
          <cell r="H1137">
            <v>1.11E-2</v>
          </cell>
          <cell r="I1137">
            <v>4.1999999999999997E-3</v>
          </cell>
          <cell r="J1137">
            <v>4.1999999999999997E-3</v>
          </cell>
        </row>
        <row r="1138">
          <cell r="B1138" t="str">
            <v>CY- 51</v>
          </cell>
          <cell r="C1138" t="str">
            <v>ESP</v>
          </cell>
          <cell r="D1138">
            <v>44699</v>
          </cell>
          <cell r="E1138">
            <v>0.3354166666666667</v>
          </cell>
          <cell r="F1138">
            <v>3.2000000000000002E-3</v>
          </cell>
          <cell r="G1138">
            <v>1.5E-3</v>
          </cell>
          <cell r="H1138">
            <v>1.6999999999999999E-3</v>
          </cell>
          <cell r="I1138">
            <v>1.4E-2</v>
          </cell>
          <cell r="J1138">
            <v>4.8999999999999998E-3</v>
          </cell>
        </row>
        <row r="1139">
          <cell r="B1139" t="str">
            <v>CL-002</v>
          </cell>
          <cell r="C1139" t="str">
            <v>ESP</v>
          </cell>
          <cell r="D1139">
            <v>44699</v>
          </cell>
          <cell r="E1139">
            <v>0.3444444444444445</v>
          </cell>
          <cell r="F1139">
            <v>3.8E-3</v>
          </cell>
          <cell r="G1139"/>
          <cell r="H1139">
            <v>1.9699999999999999E-2</v>
          </cell>
          <cell r="I1139">
            <v>6.4199999999999993E-2</v>
          </cell>
          <cell r="J1139">
            <v>0.10299999999999999</v>
          </cell>
        </row>
        <row r="1140">
          <cell r="B1140" t="str">
            <v>CY- 25</v>
          </cell>
          <cell r="C1140" t="str">
            <v>ESP</v>
          </cell>
          <cell r="D1140">
            <v>44699</v>
          </cell>
          <cell r="E1140">
            <v>0.57638888888888895</v>
          </cell>
          <cell r="F1140">
            <v>1.8800000000000001E-2</v>
          </cell>
          <cell r="G1140">
            <v>1.5E-3</v>
          </cell>
          <cell r="H1140">
            <v>1.8200000000000001E-2</v>
          </cell>
          <cell r="I1140">
            <v>1.55E-2</v>
          </cell>
          <cell r="J1140">
            <v>3.0000000000000001E-3</v>
          </cell>
        </row>
        <row r="1141">
          <cell r="B1141" t="str">
            <v>CL-002</v>
          </cell>
          <cell r="C1141" t="str">
            <v>ESP</v>
          </cell>
          <cell r="D1141">
            <v>44700</v>
          </cell>
          <cell r="E1141">
            <v>0.3527777777777778</v>
          </cell>
          <cell r="F1141">
            <v>1.2999999999999999E-3</v>
          </cell>
          <cell r="G1141"/>
          <cell r="H1141">
            <v>5.8999999999999999E-3</v>
          </cell>
          <cell r="I1141">
            <v>7.9000000000000008E-3</v>
          </cell>
          <cell r="J1141">
            <v>3.6600000000000001E-2</v>
          </cell>
        </row>
        <row r="1142">
          <cell r="B1142" t="str">
            <v>CL-002</v>
          </cell>
          <cell r="C1142" t="str">
            <v>ESP</v>
          </cell>
          <cell r="D1142">
            <v>44701</v>
          </cell>
          <cell r="E1142">
            <v>0.3263888888888889</v>
          </cell>
          <cell r="F1142">
            <v>4.0000000000000001E-3</v>
          </cell>
          <cell r="G1142"/>
          <cell r="H1142">
            <v>6.4000000000000003E-3</v>
          </cell>
          <cell r="I1142">
            <v>9.2999999999999992E-3</v>
          </cell>
          <cell r="J1142">
            <v>5.3E-3</v>
          </cell>
        </row>
        <row r="1143">
          <cell r="B1143" t="str">
            <v>CY- 19</v>
          </cell>
          <cell r="C1143" t="str">
            <v>ESP</v>
          </cell>
          <cell r="D1143">
            <v>44700</v>
          </cell>
          <cell r="E1143">
            <v>0.33680555555555558</v>
          </cell>
          <cell r="F1143">
            <v>2.9700000000000001E-2</v>
          </cell>
          <cell r="G1143">
            <v>1.5E-3</v>
          </cell>
          <cell r="H1143">
            <v>3.0499999999999999E-2</v>
          </cell>
          <cell r="I1143">
            <v>0.10290000000000001</v>
          </cell>
          <cell r="J1143">
            <v>5.0999999999999997E-2</v>
          </cell>
        </row>
        <row r="1144">
          <cell r="B1144" t="str">
            <v>CV -007</v>
          </cell>
          <cell r="C1144" t="str">
            <v>EPS</v>
          </cell>
          <cell r="D1144">
            <v>44701</v>
          </cell>
          <cell r="E1144">
            <v>0.3611111111111111</v>
          </cell>
          <cell r="F1144">
            <v>3.8800000000000001E-2</v>
          </cell>
          <cell r="G1144"/>
          <cell r="H1144">
            <v>0.1241</v>
          </cell>
          <cell r="I1144">
            <v>0.15659999999999999</v>
          </cell>
          <cell r="J1144">
            <v>0.12640000000000001</v>
          </cell>
        </row>
        <row r="1145">
          <cell r="B1145" t="str">
            <v>MN-78</v>
          </cell>
          <cell r="C1145" t="str">
            <v>EPS</v>
          </cell>
          <cell r="D1145">
            <v>44702</v>
          </cell>
          <cell r="E1145">
            <v>0.38750000000000001</v>
          </cell>
          <cell r="F1145">
            <v>2.76E-2</v>
          </cell>
          <cell r="G1145"/>
          <cell r="H1145">
            <v>9.0700000000000003E-2</v>
          </cell>
          <cell r="I1145">
            <v>0.35709999999999997</v>
          </cell>
          <cell r="J1145">
            <v>0.2316</v>
          </cell>
        </row>
        <row r="1146">
          <cell r="B1146" t="str">
            <v>LY-227</v>
          </cell>
          <cell r="C1146" t="str">
            <v>ESP</v>
          </cell>
          <cell r="D1146">
            <v>44704</v>
          </cell>
          <cell r="E1146">
            <v>0.37847222222222227</v>
          </cell>
          <cell r="F1146">
            <v>5.7000000000000002E-3</v>
          </cell>
          <cell r="G1146">
            <v>1.5E-3</v>
          </cell>
          <cell r="H1146">
            <v>3.5999999999999999E-3</v>
          </cell>
          <cell r="I1146">
            <v>2.8199999999999999E-2</v>
          </cell>
          <cell r="J1146">
            <v>1.46E-2</v>
          </cell>
        </row>
        <row r="1147">
          <cell r="B1147" t="str">
            <v>LY-008</v>
          </cell>
          <cell r="C1147" t="str">
            <v>EPS</v>
          </cell>
          <cell r="D1147">
            <v>44704</v>
          </cell>
          <cell r="E1147">
            <v>0.3888888888888889</v>
          </cell>
          <cell r="F1147">
            <v>1.8599999999999998E-2</v>
          </cell>
          <cell r="G1147"/>
          <cell r="H1147">
            <v>6.0600000000000001E-2</v>
          </cell>
          <cell r="I1147">
            <v>0.30580000000000002</v>
          </cell>
          <cell r="J1147">
            <v>6.4799999999999996E-2</v>
          </cell>
        </row>
        <row r="1148">
          <cell r="B1148" t="str">
            <v>LY-219</v>
          </cell>
          <cell r="C1148" t="str">
            <v>ESP</v>
          </cell>
          <cell r="D1148">
            <v>44704</v>
          </cell>
          <cell r="E1148">
            <v>0.59375</v>
          </cell>
          <cell r="F1148">
            <v>5.2200000000000003E-2</v>
          </cell>
          <cell r="G1148"/>
          <cell r="H1148">
            <v>0.1288</v>
          </cell>
          <cell r="I1148">
            <v>0.14069999999999999</v>
          </cell>
          <cell r="J1148">
            <v>5.7799999999999997E-2</v>
          </cell>
        </row>
        <row r="1149">
          <cell r="B1149" t="str">
            <v>LY-219*</v>
          </cell>
          <cell r="C1149" t="str">
            <v>ESP</v>
          </cell>
          <cell r="D1149">
            <v>44705</v>
          </cell>
          <cell r="E1149">
            <v>0.32083333333333336</v>
          </cell>
          <cell r="F1149">
            <v>2.1000000000000001E-2</v>
          </cell>
          <cell r="G1149"/>
          <cell r="H1149">
            <v>6.6400000000000001E-2</v>
          </cell>
          <cell r="I1149">
            <v>9.8199999999999996E-2</v>
          </cell>
          <cell r="J1149">
            <v>2.4500000000000001E-2</v>
          </cell>
        </row>
        <row r="1150">
          <cell r="B1150" t="str">
            <v>LY-229</v>
          </cell>
          <cell r="C1150" t="str">
            <v>ESP</v>
          </cell>
          <cell r="D1150">
            <v>44704</v>
          </cell>
          <cell r="E1150">
            <v>0.5708333333333333</v>
          </cell>
          <cell r="F1150">
            <v>1.18E-2</v>
          </cell>
          <cell r="G1150"/>
          <cell r="H1150">
            <v>1.0699999999999999E-2</v>
          </cell>
          <cell r="I1150">
            <v>4.6300000000000001E-2</v>
          </cell>
          <cell r="J1150">
            <v>3.1199999999999999E-2</v>
          </cell>
        </row>
        <row r="1151">
          <cell r="B1151" t="str">
            <v>LY- 096</v>
          </cell>
          <cell r="C1151" t="str">
            <v>ESP</v>
          </cell>
          <cell r="D1151">
            <v>44705</v>
          </cell>
          <cell r="E1151">
            <v>0.34652777777777777</v>
          </cell>
          <cell r="F1151">
            <v>6.1999999999999998E-3</v>
          </cell>
          <cell r="G1151"/>
          <cell r="H1151">
            <v>5.0000000000000001E-3</v>
          </cell>
          <cell r="I1151">
            <v>8.2000000000000007E-3</v>
          </cell>
          <cell r="J1151">
            <v>3.3999999999999998E-3</v>
          </cell>
        </row>
        <row r="1152">
          <cell r="B1152" t="str">
            <v>LY-059</v>
          </cell>
          <cell r="C1152" t="str">
            <v>ESP</v>
          </cell>
          <cell r="D1152">
            <v>44705</v>
          </cell>
          <cell r="E1152">
            <v>0.56944444444444442</v>
          </cell>
          <cell r="F1152">
            <v>7.9000000000000008E-3</v>
          </cell>
          <cell r="G1152"/>
          <cell r="H1152">
            <v>1.18E-2</v>
          </cell>
          <cell r="I1152">
            <v>4.3900000000000002E-2</v>
          </cell>
          <cell r="J1152">
            <v>2.4400000000000002E-2</v>
          </cell>
        </row>
        <row r="1153">
          <cell r="B1153" t="str">
            <v>LY- 265</v>
          </cell>
          <cell r="C1153" t="str">
            <v>EPS</v>
          </cell>
          <cell r="D1153">
            <v>44706</v>
          </cell>
          <cell r="E1153">
            <v>0.34791666666666665</v>
          </cell>
          <cell r="F1153">
            <v>1.47E-2</v>
          </cell>
          <cell r="G1153"/>
          <cell r="H1153">
            <v>2.3900000000000001E-2</v>
          </cell>
          <cell r="I1153">
            <v>3.6700000000000003E-2</v>
          </cell>
          <cell r="J1153">
            <v>4.4600000000000001E-2</v>
          </cell>
        </row>
        <row r="1154">
          <cell r="B1154" t="str">
            <v>LY-128</v>
          </cell>
          <cell r="C1154" t="str">
            <v>ESP</v>
          </cell>
          <cell r="D1154">
            <v>44706</v>
          </cell>
          <cell r="E1154">
            <v>0.36805555555555558</v>
          </cell>
          <cell r="F1154">
            <v>2.4500000000000001E-2</v>
          </cell>
          <cell r="G1154"/>
          <cell r="H1154">
            <v>3.7900000000000003E-2</v>
          </cell>
          <cell r="I1154">
            <v>4.6600000000000003E-2</v>
          </cell>
          <cell r="J1154">
            <v>1.5800000000000002E-2</v>
          </cell>
        </row>
        <row r="1155">
          <cell r="B1155" t="str">
            <v>LY- 217</v>
          </cell>
          <cell r="C1155" t="str">
            <v>ESP</v>
          </cell>
          <cell r="D1155">
            <v>44706</v>
          </cell>
          <cell r="E1155">
            <v>0.57430555555555551</v>
          </cell>
          <cell r="F1155">
            <v>1.0699999999999999E-2</v>
          </cell>
          <cell r="G1155"/>
          <cell r="H1155">
            <v>6.1000000000000004E-3</v>
          </cell>
          <cell r="I1155">
            <v>6.7999999999999996E-3</v>
          </cell>
          <cell r="J1155">
            <v>6.0000000000000001E-3</v>
          </cell>
        </row>
        <row r="1156">
          <cell r="B1156" t="str">
            <v>RD-01</v>
          </cell>
          <cell r="C1156" t="str">
            <v>EPS</v>
          </cell>
          <cell r="D1156">
            <v>44706</v>
          </cell>
          <cell r="E1156">
            <v>0.59861111111111109</v>
          </cell>
          <cell r="F1156">
            <v>8.8000000000000005E-3</v>
          </cell>
          <cell r="G1156"/>
          <cell r="H1156">
            <v>9.9000000000000008E-3</v>
          </cell>
          <cell r="I1156">
            <v>2.8199999999999999E-2</v>
          </cell>
          <cell r="J1156">
            <v>3.7900000000000003E-2</v>
          </cell>
        </row>
        <row r="1157">
          <cell r="B1157" t="str">
            <v>LY- 087</v>
          </cell>
          <cell r="C1157" t="str">
            <v>ESP</v>
          </cell>
          <cell r="D1157">
            <v>44707</v>
          </cell>
          <cell r="E1157">
            <v>0.3263888888888889</v>
          </cell>
          <cell r="F1157">
            <v>4.8999999999999998E-3</v>
          </cell>
          <cell r="G1157"/>
          <cell r="H1157">
            <v>5.1000000000000004E-3</v>
          </cell>
          <cell r="I1157">
            <v>7.1000000000000004E-3</v>
          </cell>
          <cell r="J1157">
            <v>9.2999999999999992E-3</v>
          </cell>
        </row>
        <row r="1158">
          <cell r="B1158" t="str">
            <v>LY-083</v>
          </cell>
          <cell r="C1158" t="str">
            <v>EPS</v>
          </cell>
          <cell r="D1158">
            <v>44707</v>
          </cell>
          <cell r="E1158">
            <v>0.58680555555555558</v>
          </cell>
          <cell r="F1158">
            <v>4.1000000000000003E-3</v>
          </cell>
          <cell r="G1158"/>
          <cell r="H1158">
            <v>1.0500000000000001E-2</v>
          </cell>
          <cell r="I1158">
            <v>1.1900000000000001E-2</v>
          </cell>
          <cell r="J1158">
            <v>7.6E-3</v>
          </cell>
        </row>
        <row r="1159">
          <cell r="B1159" t="str">
            <v>LY-174</v>
          </cell>
          <cell r="C1159" t="str">
            <v>ESP</v>
          </cell>
          <cell r="D1159">
            <v>44707</v>
          </cell>
          <cell r="E1159">
            <v>0.51736111111111105</v>
          </cell>
          <cell r="F1159">
            <v>5.7999999999999996E-3</v>
          </cell>
          <cell r="G1159"/>
          <cell r="H1159">
            <v>7.4999999999999997E-3</v>
          </cell>
          <cell r="I1159">
            <v>1.09E-2</v>
          </cell>
          <cell r="J1159">
            <v>9.1000000000000004E-3</v>
          </cell>
        </row>
        <row r="1160">
          <cell r="B1160" t="str">
            <v>LY-147</v>
          </cell>
          <cell r="C1160" t="str">
            <v>EPS</v>
          </cell>
          <cell r="D1160">
            <v>44708</v>
          </cell>
          <cell r="E1160">
            <v>0.3888888888888889</v>
          </cell>
          <cell r="F1160">
            <v>2.2800000000000001E-2</v>
          </cell>
          <cell r="G1160"/>
          <cell r="H1160">
            <v>2.1299999999999999E-2</v>
          </cell>
          <cell r="I1160">
            <v>2.3300000000000001E-2</v>
          </cell>
          <cell r="J1160">
            <v>8.9999999999999993E-3</v>
          </cell>
        </row>
        <row r="1161">
          <cell r="B1161" t="str">
            <v>LY-273</v>
          </cell>
          <cell r="C1161" t="str">
            <v>ESP</v>
          </cell>
          <cell r="D1161">
            <v>44708</v>
          </cell>
          <cell r="E1161">
            <v>0.38194444444444442</v>
          </cell>
          <cell r="F1161">
            <v>6.7999999999999996E-3</v>
          </cell>
          <cell r="G1161"/>
          <cell r="H1161">
            <v>7.9000000000000008E-3</v>
          </cell>
          <cell r="I1161">
            <v>9.7000000000000003E-3</v>
          </cell>
          <cell r="J1161">
            <v>1.03E-2</v>
          </cell>
        </row>
        <row r="1162">
          <cell r="B1162" t="str">
            <v>LY-247</v>
          </cell>
          <cell r="C1162" t="str">
            <v>EPS</v>
          </cell>
          <cell r="D1162">
            <v>44708</v>
          </cell>
          <cell r="E1162">
            <v>0.59722222222222221</v>
          </cell>
          <cell r="F1162">
            <v>8.3000000000000001E-3</v>
          </cell>
          <cell r="G1162"/>
          <cell r="H1162">
            <v>1.4500000000000001E-2</v>
          </cell>
          <cell r="I1162">
            <v>4.0300000000000002E-2</v>
          </cell>
          <cell r="J1162">
            <v>1.6299999999999999E-2</v>
          </cell>
        </row>
        <row r="1163">
          <cell r="B1163" t="str">
            <v>LY-182</v>
          </cell>
          <cell r="C1163" t="str">
            <v>ESP</v>
          </cell>
          <cell r="D1163">
            <v>44708</v>
          </cell>
          <cell r="E1163">
            <v>0.60416666666666663</v>
          </cell>
          <cell r="F1163">
            <v>2.3999999999999998E-3</v>
          </cell>
          <cell r="G1163"/>
          <cell r="H1163">
            <v>5.7999999999999996E-3</v>
          </cell>
          <cell r="I1163">
            <v>7.3000000000000001E-3</v>
          </cell>
          <cell r="J1163">
            <v>6.4999999999999997E-3</v>
          </cell>
        </row>
        <row r="1164">
          <cell r="B1164" t="str">
            <v>LY-252</v>
          </cell>
          <cell r="C1164" t="str">
            <v>EPS</v>
          </cell>
          <cell r="D1164">
            <v>44712</v>
          </cell>
          <cell r="E1164">
            <v>0.3576388888888889</v>
          </cell>
          <cell r="F1164">
            <v>1.17E-2</v>
          </cell>
          <cell r="G1164"/>
          <cell r="H1164">
            <v>1.2999999999999999E-2</v>
          </cell>
          <cell r="I1164">
            <v>2.4799999999999999E-2</v>
          </cell>
          <cell r="J1164">
            <v>1.4E-2</v>
          </cell>
        </row>
        <row r="1165">
          <cell r="B1165" t="str">
            <v>LY-203</v>
          </cell>
          <cell r="C1165" t="str">
            <v>ESP</v>
          </cell>
          <cell r="D1165">
            <v>44712</v>
          </cell>
          <cell r="E1165">
            <v>0.36805555555555558</v>
          </cell>
          <cell r="F1165">
            <v>3.5799999999999998E-2</v>
          </cell>
          <cell r="G1165"/>
          <cell r="H1165">
            <v>8.4400000000000003E-2</v>
          </cell>
          <cell r="I1165">
            <v>0.21859999999999999</v>
          </cell>
          <cell r="J1165">
            <v>0.48859999999999998</v>
          </cell>
        </row>
        <row r="1166">
          <cell r="B1166" t="str">
            <v>CL-002</v>
          </cell>
          <cell r="C1166" t="str">
            <v>ESP</v>
          </cell>
          <cell r="D1166">
            <v>44713</v>
          </cell>
          <cell r="E1166">
            <v>0.3611111111111111</v>
          </cell>
          <cell r="F1166">
            <v>1.34E-2</v>
          </cell>
          <cell r="G1166"/>
          <cell r="H1166">
            <v>3.6999999999999998E-2</v>
          </cell>
          <cell r="I1166">
            <v>4.0500000000000001E-2</v>
          </cell>
          <cell r="J1166">
            <v>3.1E-2</v>
          </cell>
        </row>
        <row r="1167">
          <cell r="B1167" t="str">
            <v>LY-291</v>
          </cell>
          <cell r="C1167" t="str">
            <v>ESP</v>
          </cell>
          <cell r="D1167">
            <v>44713</v>
          </cell>
          <cell r="E1167">
            <v>0.39583333333333331</v>
          </cell>
          <cell r="F1167">
            <v>4.4999999999999997E-3</v>
          </cell>
          <cell r="G1167"/>
          <cell r="H1167">
            <v>7.4999999999999997E-3</v>
          </cell>
          <cell r="I1167">
            <v>2.4E-2</v>
          </cell>
          <cell r="J1167">
            <v>5.9400000000000001E-2</v>
          </cell>
        </row>
        <row r="1168">
          <cell r="B1168" t="str">
            <v>CY-50</v>
          </cell>
          <cell r="C1168" t="str">
            <v>ESP</v>
          </cell>
          <cell r="D1168">
            <v>44714</v>
          </cell>
          <cell r="E1168">
            <v>0.3298611111111111</v>
          </cell>
          <cell r="F1168">
            <v>2.4400000000000002E-2</v>
          </cell>
          <cell r="G1168"/>
          <cell r="H1168">
            <v>2.8000000000000001E-2</v>
          </cell>
          <cell r="I1168">
            <v>0.32669999999999999</v>
          </cell>
          <cell r="J1168">
            <v>9.7699999999999995E-2</v>
          </cell>
        </row>
        <row r="1169">
          <cell r="B1169" t="str">
            <v>CL-34</v>
          </cell>
          <cell r="C1169" t="str">
            <v>ESP</v>
          </cell>
          <cell r="D1169">
            <v>44714</v>
          </cell>
          <cell r="E1169">
            <v>0.54513888888888895</v>
          </cell>
          <cell r="F1169">
            <v>4.48E-2</v>
          </cell>
          <cell r="G1169"/>
          <cell r="H1169">
            <v>4.2500000000000003E-2</v>
          </cell>
          <cell r="I1169">
            <v>4.3099999999999999E-2</v>
          </cell>
          <cell r="J1169">
            <v>2.5600000000000001E-2</v>
          </cell>
        </row>
        <row r="1170">
          <cell r="B1170" t="str">
            <v>LY-100</v>
          </cell>
          <cell r="C1170" t="str">
            <v>ESP</v>
          </cell>
          <cell r="D1170">
            <v>44715</v>
          </cell>
          <cell r="E1170">
            <v>0.33333333333333331</v>
          </cell>
          <cell r="F1170">
            <v>3.8899999999999997E-2</v>
          </cell>
          <cell r="G1170"/>
          <cell r="H1170">
            <v>4.9599999999999998E-2</v>
          </cell>
          <cell r="I1170">
            <v>7.5399999999999995E-2</v>
          </cell>
          <cell r="J1170">
            <v>5.6599999999999998E-2</v>
          </cell>
        </row>
        <row r="1171">
          <cell r="B1171" t="str">
            <v>CL-55</v>
          </cell>
          <cell r="C1171" t="str">
            <v>ESP</v>
          </cell>
          <cell r="D1171">
            <v>44715</v>
          </cell>
          <cell r="E1171">
            <v>0.36249999999999999</v>
          </cell>
          <cell r="F1171">
            <v>6.7000000000000002E-3</v>
          </cell>
          <cell r="G1171"/>
          <cell r="H1171">
            <v>8.3999999999999995E-3</v>
          </cell>
          <cell r="I1171">
            <v>2.1700000000000001E-2</v>
          </cell>
          <cell r="J1171">
            <v>6.4299999999999996E-2</v>
          </cell>
        </row>
        <row r="1172">
          <cell r="B1172" t="str">
            <v>LY-224</v>
          </cell>
          <cell r="C1172" t="str">
            <v>ESP</v>
          </cell>
          <cell r="D1172">
            <v>44718</v>
          </cell>
          <cell r="E1172">
            <v>0.35694444444444445</v>
          </cell>
          <cell r="F1172">
            <v>2.3699999999999999E-2</v>
          </cell>
          <cell r="G1172"/>
          <cell r="H1172">
            <v>3.49E-2</v>
          </cell>
          <cell r="I1172">
            <v>0.1129</v>
          </cell>
          <cell r="J1172">
            <v>4.3400000000000001E-2</v>
          </cell>
        </row>
        <row r="1173">
          <cell r="B1173" t="str">
            <v>MN-14</v>
          </cell>
          <cell r="C1173" t="str">
            <v>ESP</v>
          </cell>
          <cell r="D1173">
            <v>44718</v>
          </cell>
          <cell r="E1173">
            <v>0.36805555555555558</v>
          </cell>
          <cell r="F1173">
            <v>2.69E-2</v>
          </cell>
          <cell r="G1173"/>
          <cell r="H1173">
            <v>2.01E-2</v>
          </cell>
          <cell r="I1173">
            <v>2.3099999999999999E-2</v>
          </cell>
          <cell r="J1173">
            <v>1.2699999999999999E-2</v>
          </cell>
        </row>
        <row r="1174">
          <cell r="B1174" t="str">
            <v>CY-86</v>
          </cell>
          <cell r="C1174" t="str">
            <v>ESP</v>
          </cell>
          <cell r="D1174">
            <v>44719</v>
          </cell>
          <cell r="E1174">
            <v>0.39305555555555555</v>
          </cell>
          <cell r="F1174">
            <v>7.9699999999999993E-2</v>
          </cell>
          <cell r="G1174"/>
          <cell r="H1174">
            <v>3.9300000000000002E-2</v>
          </cell>
          <cell r="I1174">
            <v>4.0399999999999998E-2</v>
          </cell>
          <cell r="J1174">
            <v>2.23E-2</v>
          </cell>
        </row>
        <row r="1175">
          <cell r="B1175" t="str">
            <v>MN-87ST</v>
          </cell>
          <cell r="C1175" t="str">
            <v>ESP</v>
          </cell>
          <cell r="D1175">
            <v>44719</v>
          </cell>
          <cell r="E1175">
            <v>0.41319444444444442</v>
          </cell>
          <cell r="F1175">
            <v>2.06E-2</v>
          </cell>
          <cell r="G1175"/>
          <cell r="H1175">
            <v>2.3699999999999999E-2</v>
          </cell>
          <cell r="I1175">
            <v>0.10489999999999999</v>
          </cell>
          <cell r="J1175">
            <v>7.8799999999999995E-2</v>
          </cell>
        </row>
        <row r="1176">
          <cell r="B1176" t="str">
            <v>CY-32</v>
          </cell>
          <cell r="C1176" t="str">
            <v>ESP</v>
          </cell>
          <cell r="D1176">
            <v>44720</v>
          </cell>
          <cell r="E1176">
            <v>0.40486111111111112</v>
          </cell>
          <cell r="F1176">
            <v>6.4000000000000003E-3</v>
          </cell>
          <cell r="G1176"/>
          <cell r="H1176">
            <v>2.1100000000000001E-2</v>
          </cell>
          <cell r="I1176">
            <v>2.64E-2</v>
          </cell>
          <cell r="J1176">
            <v>1.0999999999999999E-2</v>
          </cell>
        </row>
        <row r="1177">
          <cell r="B1177" t="str">
            <v>CL-46</v>
          </cell>
          <cell r="C1177" t="str">
            <v>ESP</v>
          </cell>
          <cell r="D1177">
            <v>44720</v>
          </cell>
          <cell r="E1177">
            <v>0.43402777777777773</v>
          </cell>
          <cell r="F1177">
            <v>9.5999999999999992E-3</v>
          </cell>
          <cell r="G1177"/>
          <cell r="H1177">
            <v>0.01</v>
          </cell>
          <cell r="I1177">
            <v>1.21E-2</v>
          </cell>
          <cell r="J1177">
            <v>8.9999999999999993E-3</v>
          </cell>
        </row>
        <row r="1178">
          <cell r="B1178" t="str">
            <v>LY-070</v>
          </cell>
          <cell r="C1178" t="str">
            <v>ESP</v>
          </cell>
          <cell r="D1178">
            <v>44720</v>
          </cell>
          <cell r="E1178">
            <v>0.6020833333333333</v>
          </cell>
          <cell r="F1178">
            <v>3.3999999999999998E-3</v>
          </cell>
          <cell r="G1178"/>
          <cell r="H1178">
            <v>9.1000000000000004E-3</v>
          </cell>
          <cell r="I1178">
            <v>2.1000000000000001E-2</v>
          </cell>
          <cell r="J1178">
            <v>1.84E-2</v>
          </cell>
        </row>
        <row r="1179">
          <cell r="B1179" t="str">
            <v>CL-35</v>
          </cell>
          <cell r="C1179" t="str">
            <v>ESP</v>
          </cell>
          <cell r="D1179">
            <v>44720</v>
          </cell>
          <cell r="E1179">
            <v>0.625</v>
          </cell>
          <cell r="F1179">
            <v>4.0800000000000003E-2</v>
          </cell>
          <cell r="G1179"/>
          <cell r="H1179">
            <v>0.1333</v>
          </cell>
          <cell r="I1179">
            <v>7.51E-2</v>
          </cell>
          <cell r="J1179">
            <v>2.53E-2</v>
          </cell>
        </row>
        <row r="1180">
          <cell r="B1180" t="str">
            <v>LY-263</v>
          </cell>
          <cell r="C1180" t="str">
            <v>ESP</v>
          </cell>
          <cell r="D1180">
            <v>44721</v>
          </cell>
          <cell r="E1180">
            <v>0.3263888888888889</v>
          </cell>
          <cell r="F1180">
            <v>1.54E-2</v>
          </cell>
          <cell r="G1180"/>
          <cell r="H1180">
            <v>1.6899999999999998E-2</v>
          </cell>
          <cell r="I1180">
            <v>1.84E-2</v>
          </cell>
          <cell r="J1180">
            <v>1.24E-2</v>
          </cell>
        </row>
        <row r="1181">
          <cell r="B1181" t="str">
            <v>BAY-006</v>
          </cell>
          <cell r="C1181" t="str">
            <v>ESP</v>
          </cell>
          <cell r="D1181">
            <v>44721</v>
          </cell>
          <cell r="E1181">
            <v>0.3576388888888889</v>
          </cell>
          <cell r="F1181">
            <v>2.5999999999999999E-2</v>
          </cell>
          <cell r="G1181"/>
          <cell r="H1181">
            <v>3.4700000000000002E-2</v>
          </cell>
          <cell r="I1181">
            <v>4.99E-2</v>
          </cell>
          <cell r="J1181">
            <v>2.06E-2</v>
          </cell>
        </row>
        <row r="1182">
          <cell r="B1182" t="str">
            <v>LY-027</v>
          </cell>
          <cell r="C1182" t="str">
            <v>ESP</v>
          </cell>
          <cell r="D1182">
            <v>44721</v>
          </cell>
          <cell r="E1182">
            <v>0.55902777777777779</v>
          </cell>
          <cell r="F1182">
            <v>2.1899999999999999E-2</v>
          </cell>
          <cell r="G1182"/>
          <cell r="H1182">
            <v>8.2199999999999995E-2</v>
          </cell>
          <cell r="I1182">
            <v>0.1183</v>
          </cell>
          <cell r="J1182">
            <v>4.9599999999999998E-2</v>
          </cell>
        </row>
        <row r="1183">
          <cell r="B1183" t="str">
            <v>CL-006</v>
          </cell>
          <cell r="C1183" t="str">
            <v>ESP</v>
          </cell>
          <cell r="D1183">
            <v>44721</v>
          </cell>
          <cell r="E1183">
            <v>0.59027777777777779</v>
          </cell>
          <cell r="F1183">
            <v>7.1999999999999998E-3</v>
          </cell>
          <cell r="G1183"/>
          <cell r="H1183">
            <v>2.7000000000000001E-3</v>
          </cell>
          <cell r="I1183">
            <v>1.46E-2</v>
          </cell>
          <cell r="J1183">
            <v>7.6E-3</v>
          </cell>
        </row>
        <row r="1184">
          <cell r="B1184" t="str">
            <v>LY-258</v>
          </cell>
          <cell r="C1184" t="str">
            <v>ESP</v>
          </cell>
          <cell r="D1184">
            <v>44722</v>
          </cell>
          <cell r="E1184">
            <v>0.33333333333333331</v>
          </cell>
          <cell r="F1184">
            <v>2.8999999999999998E-3</v>
          </cell>
          <cell r="G1184"/>
          <cell r="H1184">
            <v>2.8E-3</v>
          </cell>
          <cell r="I1184">
            <v>6.7000000000000002E-3</v>
          </cell>
          <cell r="J1184">
            <v>8.0000000000000002E-3</v>
          </cell>
        </row>
        <row r="1185">
          <cell r="B1185" t="str">
            <v>LY-282</v>
          </cell>
          <cell r="C1185" t="str">
            <v>ESP</v>
          </cell>
          <cell r="D1185">
            <v>44722</v>
          </cell>
          <cell r="E1185">
            <v>0.375</v>
          </cell>
          <cell r="F1185">
            <v>3.5000000000000001E-3</v>
          </cell>
          <cell r="G1185"/>
          <cell r="H1185">
            <v>1.6E-2</v>
          </cell>
          <cell r="I1185">
            <v>4.2900000000000001E-2</v>
          </cell>
          <cell r="J1185">
            <v>1.2500000000000001E-2</v>
          </cell>
        </row>
        <row r="1186">
          <cell r="B1186" t="str">
            <v>LY-035</v>
          </cell>
          <cell r="C1186" t="str">
            <v>ESP</v>
          </cell>
          <cell r="D1186">
            <v>44722</v>
          </cell>
          <cell r="E1186">
            <v>0.58333333333333337</v>
          </cell>
          <cell r="F1186">
            <v>2.3400000000000001E-2</v>
          </cell>
          <cell r="G1186"/>
          <cell r="H1186">
            <v>7.0699999999999999E-2</v>
          </cell>
          <cell r="I1186">
            <v>0.45739999999999997</v>
          </cell>
          <cell r="J1186">
            <v>0.13589999999999999</v>
          </cell>
        </row>
        <row r="1187">
          <cell r="B1187" t="str">
            <v>LY-123</v>
          </cell>
          <cell r="C1187" t="str">
            <v>ESP</v>
          </cell>
          <cell r="D1187">
            <v>44722</v>
          </cell>
          <cell r="E1187">
            <v>0.58888888888888891</v>
          </cell>
          <cell r="F1187">
            <v>1.46E-2</v>
          </cell>
          <cell r="G1187"/>
          <cell r="H1187">
            <v>2.3699999999999999E-2</v>
          </cell>
          <cell r="I1187">
            <v>2.69E-2</v>
          </cell>
          <cell r="J1187">
            <v>1.38E-2</v>
          </cell>
        </row>
        <row r="1188">
          <cell r="B1188" t="str">
            <v>LY-189</v>
          </cell>
          <cell r="C1188" t="str">
            <v>ESP</v>
          </cell>
          <cell r="D1188">
            <v>44725</v>
          </cell>
          <cell r="E1188">
            <v>0.34027777777777773</v>
          </cell>
          <cell r="F1188">
            <v>2.9499999999999998E-2</v>
          </cell>
          <cell r="G1188"/>
          <cell r="H1188">
            <v>7.0599999999999996E-2</v>
          </cell>
          <cell r="I1188">
            <v>0.29310000000000003</v>
          </cell>
          <cell r="J1188">
            <v>0.1308</v>
          </cell>
        </row>
        <row r="1189">
          <cell r="B1189" t="str">
            <v>LY-212</v>
          </cell>
          <cell r="C1189" t="str">
            <v>ESP</v>
          </cell>
          <cell r="D1189">
            <v>44725</v>
          </cell>
          <cell r="E1189">
            <v>0.34375</v>
          </cell>
          <cell r="F1189">
            <v>1.26E-2</v>
          </cell>
          <cell r="G1189"/>
          <cell r="H1189">
            <v>2.0199999999999999E-2</v>
          </cell>
          <cell r="I1189">
            <v>5.0999999999999997E-2</v>
          </cell>
          <cell r="J1189">
            <v>2.1000000000000001E-2</v>
          </cell>
        </row>
        <row r="1190">
          <cell r="B1190" t="str">
            <v>LY-115</v>
          </cell>
          <cell r="C1190" t="str">
            <v>ESP</v>
          </cell>
          <cell r="D1190">
            <v>44725</v>
          </cell>
          <cell r="E1190">
            <v>0.57222222222222219</v>
          </cell>
          <cell r="F1190">
            <v>2.3E-3</v>
          </cell>
          <cell r="G1190"/>
          <cell r="H1190">
            <v>3.8699999999999998E-2</v>
          </cell>
          <cell r="I1190">
            <v>3.6499999999999998E-2</v>
          </cell>
          <cell r="J1190">
            <v>1.11E-2</v>
          </cell>
        </row>
        <row r="1191">
          <cell r="B1191" t="str">
            <v>LY-101</v>
          </cell>
          <cell r="C1191" t="str">
            <v>ESP</v>
          </cell>
          <cell r="D1191">
            <v>44725</v>
          </cell>
          <cell r="E1191">
            <v>0.5625</v>
          </cell>
          <cell r="F1191">
            <v>1.5299999999999999E-2</v>
          </cell>
          <cell r="G1191"/>
          <cell r="H1191">
            <v>1.37E-2</v>
          </cell>
          <cell r="I1191">
            <v>2.46E-2</v>
          </cell>
          <cell r="J1191">
            <v>1.5800000000000002E-2</v>
          </cell>
        </row>
        <row r="1192">
          <cell r="B1192" t="str">
            <v>CY-47ST</v>
          </cell>
          <cell r="C1192" t="str">
            <v>ESP</v>
          </cell>
          <cell r="D1192">
            <v>44726</v>
          </cell>
          <cell r="E1192">
            <v>0.36805555555555558</v>
          </cell>
          <cell r="F1192">
            <v>4.36E-2</v>
          </cell>
          <cell r="G1192"/>
          <cell r="H1192">
            <v>0.06</v>
          </cell>
          <cell r="I1192">
            <v>3.6200000000000003E-2</v>
          </cell>
          <cell r="J1192">
            <v>2.41E-2</v>
          </cell>
        </row>
        <row r="1193">
          <cell r="B1193" t="str">
            <v>MN-X-002</v>
          </cell>
          <cell r="C1193" t="str">
            <v>ESP</v>
          </cell>
          <cell r="D1193">
            <v>44726</v>
          </cell>
          <cell r="E1193">
            <v>0.36319444444444443</v>
          </cell>
          <cell r="F1193">
            <v>4.2700000000000002E-2</v>
          </cell>
          <cell r="G1193"/>
          <cell r="H1193">
            <v>4.7699999999999999E-2</v>
          </cell>
          <cell r="I1193">
            <v>7.22E-2</v>
          </cell>
          <cell r="J1193">
            <v>3.09E-2</v>
          </cell>
        </row>
        <row r="1194">
          <cell r="B1194" t="str">
            <v>MN-X-003</v>
          </cell>
          <cell r="C1194" t="str">
            <v>ESP</v>
          </cell>
          <cell r="D1194">
            <v>44726</v>
          </cell>
          <cell r="E1194">
            <v>0.58333333333333337</v>
          </cell>
          <cell r="F1194">
            <v>3.2800000000000003E-2</v>
          </cell>
          <cell r="G1194"/>
          <cell r="H1194">
            <v>5.8299999999999998E-2</v>
          </cell>
          <cell r="I1194">
            <v>6.5299999999999997E-2</v>
          </cell>
          <cell r="J1194">
            <v>1.7999999999999999E-2</v>
          </cell>
        </row>
        <row r="1195">
          <cell r="B1195" t="str">
            <v>CY-45</v>
          </cell>
          <cell r="C1195" t="str">
            <v>ESP</v>
          </cell>
          <cell r="D1195">
            <v>44727</v>
          </cell>
          <cell r="E1195">
            <v>0.33680555555555558</v>
          </cell>
          <cell r="F1195">
            <v>5.7000000000000002E-3</v>
          </cell>
          <cell r="G1195"/>
          <cell r="H1195">
            <v>2.6800000000000001E-2</v>
          </cell>
          <cell r="I1195">
            <v>3.5000000000000003E-2</v>
          </cell>
          <cell r="J1195">
            <v>1.47E-2</v>
          </cell>
        </row>
        <row r="1196">
          <cell r="B1196" t="str">
            <v>MN-X-002</v>
          </cell>
          <cell r="C1196" t="str">
            <v>ESP</v>
          </cell>
          <cell r="D1196">
            <v>44727</v>
          </cell>
          <cell r="E1196">
            <v>0.31944444444444448</v>
          </cell>
          <cell r="F1196">
            <v>1.24E-2</v>
          </cell>
          <cell r="G1196"/>
          <cell r="H1196">
            <v>1.5900000000000001E-2</v>
          </cell>
          <cell r="I1196">
            <v>3.3799999999999997E-2</v>
          </cell>
          <cell r="J1196">
            <v>2.1600000000000001E-2</v>
          </cell>
        </row>
        <row r="1197">
          <cell r="B1197" t="str">
            <v>LY-189</v>
          </cell>
          <cell r="C1197" t="str">
            <v>ESP</v>
          </cell>
          <cell r="D1197">
            <v>44727</v>
          </cell>
          <cell r="E1197">
            <v>0.57638888888888895</v>
          </cell>
          <cell r="F1197">
            <v>7.2099999999999997E-2</v>
          </cell>
          <cell r="G1197"/>
          <cell r="H1197">
            <v>0.39760000000000001</v>
          </cell>
          <cell r="I1197">
            <v>0.74590000000000001</v>
          </cell>
          <cell r="J1197">
            <v>0.1641</v>
          </cell>
        </row>
        <row r="1198">
          <cell r="B1198" t="str">
            <v>CY-87</v>
          </cell>
          <cell r="C1198" t="str">
            <v>ESP</v>
          </cell>
          <cell r="D1198">
            <v>44728</v>
          </cell>
          <cell r="E1198">
            <v>0.34722222222222227</v>
          </cell>
          <cell r="F1198">
            <v>0.18179999999999999</v>
          </cell>
          <cell r="G1198"/>
          <cell r="H1198">
            <v>0.31069999999999998</v>
          </cell>
          <cell r="I1198">
            <v>0.14530000000000001</v>
          </cell>
          <cell r="J1198">
            <v>5.2999999999999999E-2</v>
          </cell>
        </row>
        <row r="1199">
          <cell r="B1199" t="str">
            <v>MN-X-002</v>
          </cell>
          <cell r="C1199" t="str">
            <v>ESP</v>
          </cell>
          <cell r="D1199">
            <v>44728</v>
          </cell>
          <cell r="E1199">
            <v>0.34166666666666662</v>
          </cell>
          <cell r="F1199">
            <v>2.5700000000000001E-2</v>
          </cell>
          <cell r="G1199"/>
          <cell r="H1199">
            <v>3.73E-2</v>
          </cell>
          <cell r="I1199">
            <v>9.5699999999999993E-2</v>
          </cell>
          <cell r="J1199">
            <v>3.1E-2</v>
          </cell>
        </row>
        <row r="1200">
          <cell r="B1200" t="str">
            <v>CY-61</v>
          </cell>
          <cell r="C1200" t="str">
            <v>ESP</v>
          </cell>
          <cell r="D1200">
            <v>44728</v>
          </cell>
          <cell r="E1200">
            <v>0.57291666666666663</v>
          </cell>
          <cell r="F1200">
            <v>7.6E-3</v>
          </cell>
          <cell r="G1200"/>
          <cell r="H1200">
            <v>6.6E-3</v>
          </cell>
          <cell r="I1200">
            <v>1.06E-2</v>
          </cell>
          <cell r="J1200">
            <v>3.4700000000000002E-2</v>
          </cell>
        </row>
        <row r="1201">
          <cell r="B1201" t="str">
            <v>CY-69</v>
          </cell>
          <cell r="C1201" t="str">
            <v>ESP</v>
          </cell>
          <cell r="D1201">
            <v>44729</v>
          </cell>
          <cell r="E1201">
            <v>0.32291666666666669</v>
          </cell>
          <cell r="F1201">
            <v>5.8999999999999999E-3</v>
          </cell>
          <cell r="G1201"/>
          <cell r="H1201">
            <v>6.4999999999999997E-3</v>
          </cell>
          <cell r="I1201">
            <v>9.4999999999999998E-3</v>
          </cell>
          <cell r="J1201">
            <v>5.7999999999999996E-3</v>
          </cell>
        </row>
        <row r="1202">
          <cell r="B1202" t="str">
            <v>MN-X-002</v>
          </cell>
          <cell r="C1202" t="str">
            <v>ESP</v>
          </cell>
          <cell r="D1202">
            <v>44729</v>
          </cell>
          <cell r="E1202">
            <v>0.3215277777777778</v>
          </cell>
          <cell r="F1202">
            <v>8.5000000000000006E-3</v>
          </cell>
          <cell r="G1202"/>
          <cell r="H1202">
            <v>5.7999999999999996E-3</v>
          </cell>
          <cell r="I1202">
            <v>2.4400000000000002E-2</v>
          </cell>
          <cell r="J1202">
            <v>2.93E-2</v>
          </cell>
        </row>
        <row r="1203">
          <cell r="B1203" t="str">
            <v>CY-94</v>
          </cell>
          <cell r="C1203" t="str">
            <v>ESP</v>
          </cell>
          <cell r="D1203">
            <v>44729</v>
          </cell>
          <cell r="E1203">
            <v>0.58333333333333337</v>
          </cell>
          <cell r="F1203">
            <v>8.2000000000000007E-3</v>
          </cell>
          <cell r="G1203"/>
          <cell r="H1203">
            <v>7.3000000000000001E-3</v>
          </cell>
          <cell r="I1203">
            <v>3.4299999999999997E-2</v>
          </cell>
          <cell r="J1203">
            <v>1.67E-2</v>
          </cell>
        </row>
        <row r="1204">
          <cell r="B1204" t="str">
            <v>CL-32</v>
          </cell>
          <cell r="C1204" t="str">
            <v>ESP</v>
          </cell>
          <cell r="D1204">
            <v>44733</v>
          </cell>
          <cell r="E1204">
            <v>0.33680555555555558</v>
          </cell>
          <cell r="F1204">
            <v>2.0500000000000001E-2</v>
          </cell>
          <cell r="G1204"/>
          <cell r="H1204">
            <v>0.184</v>
          </cell>
          <cell r="I1204">
            <v>0.24879999999999999</v>
          </cell>
          <cell r="J1204">
            <v>3.8699999999999998E-2</v>
          </cell>
        </row>
        <row r="1205">
          <cell r="B1205" t="str">
            <v>CL-16</v>
          </cell>
          <cell r="C1205" t="str">
            <v>ESP</v>
          </cell>
          <cell r="D1205">
            <v>44733</v>
          </cell>
          <cell r="E1205">
            <v>0.34375</v>
          </cell>
          <cell r="F1205">
            <v>1.44E-2</v>
          </cell>
          <cell r="G1205"/>
          <cell r="H1205">
            <v>1.24E-2</v>
          </cell>
          <cell r="I1205">
            <v>1.6E-2</v>
          </cell>
          <cell r="J1205">
            <v>8.0999999999999996E-3</v>
          </cell>
        </row>
        <row r="1206">
          <cell r="B1206" t="str">
            <v>LY-239</v>
          </cell>
          <cell r="C1206" t="str">
            <v>ESP</v>
          </cell>
          <cell r="D1206">
            <v>44733</v>
          </cell>
          <cell r="E1206">
            <v>0.59722222222222221</v>
          </cell>
          <cell r="F1206">
            <v>2.87E-2</v>
          </cell>
          <cell r="G1206"/>
          <cell r="H1206">
            <v>2.6100000000000002E-2</v>
          </cell>
          <cell r="I1206">
            <v>3.9800000000000002E-2</v>
          </cell>
          <cell r="J1206">
            <v>0.19</v>
          </cell>
        </row>
        <row r="1207">
          <cell r="B1207" t="str">
            <v>LY-189</v>
          </cell>
          <cell r="C1207" t="str">
            <v>ESP</v>
          </cell>
          <cell r="D1207">
            <v>44733</v>
          </cell>
          <cell r="E1207">
            <v>0.57986111111111105</v>
          </cell>
          <cell r="F1207">
            <v>7.8700000000000006E-2</v>
          </cell>
          <cell r="G1207"/>
          <cell r="H1207">
            <v>0.1168</v>
          </cell>
          <cell r="I1207">
            <v>0.2079</v>
          </cell>
          <cell r="J1207">
            <v>6.1800000000000001E-2</v>
          </cell>
        </row>
        <row r="1208">
          <cell r="B1208" t="str">
            <v>LY-067</v>
          </cell>
          <cell r="C1208" t="str">
            <v>ESP</v>
          </cell>
          <cell r="D1208">
            <v>44734</v>
          </cell>
          <cell r="E1208">
            <v>0.3263888888888889</v>
          </cell>
          <cell r="F1208">
            <v>1.1299999999999999E-2</v>
          </cell>
          <cell r="G1208"/>
          <cell r="H1208">
            <v>4.4400000000000002E-2</v>
          </cell>
          <cell r="I1208">
            <v>0.1371</v>
          </cell>
          <cell r="J1208">
            <v>1.5432999999999999</v>
          </cell>
        </row>
        <row r="1209">
          <cell r="B1209" t="str">
            <v>LY-189</v>
          </cell>
          <cell r="C1209" t="str">
            <v>ESP</v>
          </cell>
          <cell r="D1209">
            <v>44734</v>
          </cell>
          <cell r="E1209">
            <v>0.33333333333333331</v>
          </cell>
          <cell r="F1209">
            <v>0.1762</v>
          </cell>
          <cell r="G1209"/>
          <cell r="H1209">
            <v>0.26229999999999998</v>
          </cell>
          <cell r="I1209">
            <v>0.26569999999999999</v>
          </cell>
          <cell r="J1209">
            <v>8.6099999999999996E-2</v>
          </cell>
        </row>
        <row r="1210">
          <cell r="B1210" t="str">
            <v>LY-047</v>
          </cell>
          <cell r="C1210" t="str">
            <v>ESP</v>
          </cell>
          <cell r="D1210">
            <v>44734</v>
          </cell>
          <cell r="E1210">
            <v>0.57638888888888895</v>
          </cell>
          <cell r="F1210">
            <v>5.7000000000000002E-3</v>
          </cell>
          <cell r="G1210"/>
          <cell r="H1210">
            <v>8.9999999999999993E-3</v>
          </cell>
          <cell r="I1210">
            <v>1.7899999999999999E-2</v>
          </cell>
          <cell r="J1210">
            <v>3.95E-2</v>
          </cell>
        </row>
        <row r="1211">
          <cell r="B1211" t="str">
            <v>LY-216</v>
          </cell>
          <cell r="C1211" t="str">
            <v>ESP</v>
          </cell>
          <cell r="D1211">
            <v>44735</v>
          </cell>
          <cell r="E1211">
            <v>0.34027777777777773</v>
          </cell>
          <cell r="F1211">
            <v>2.7300000000000001E-2</v>
          </cell>
          <cell r="G1211"/>
          <cell r="H1211">
            <v>2.9499999999999998E-2</v>
          </cell>
          <cell r="I1211">
            <v>5.0799999999999998E-2</v>
          </cell>
          <cell r="J1211">
            <v>1.9900000000000001E-2</v>
          </cell>
        </row>
        <row r="1212">
          <cell r="B1212" t="str">
            <v>LY-189</v>
          </cell>
          <cell r="C1212" t="str">
            <v>ESP</v>
          </cell>
          <cell r="D1212">
            <v>44735</v>
          </cell>
          <cell r="E1212">
            <v>0.3125</v>
          </cell>
          <cell r="F1212">
            <v>2.8299999999999999E-2</v>
          </cell>
          <cell r="G1212"/>
          <cell r="H1212">
            <v>8.7300000000000003E-2</v>
          </cell>
          <cell r="I1212">
            <v>0.1142</v>
          </cell>
          <cell r="J1212">
            <v>6.9800000000000001E-2</v>
          </cell>
        </row>
        <row r="1213">
          <cell r="B1213" t="str">
            <v>LY-253</v>
          </cell>
          <cell r="C1213" t="str">
            <v>ESP</v>
          </cell>
          <cell r="D1213">
            <v>44735</v>
          </cell>
          <cell r="E1213">
            <v>0.56944444444444442</v>
          </cell>
          <cell r="F1213">
            <v>3.4799999999999998E-2</v>
          </cell>
          <cell r="G1213"/>
          <cell r="H1213">
            <v>4.8500000000000001E-2</v>
          </cell>
          <cell r="I1213">
            <v>4.3099999999999999E-2</v>
          </cell>
          <cell r="J1213">
            <v>3.4200000000000001E-2</v>
          </cell>
        </row>
        <row r="1214">
          <cell r="B1214" t="str">
            <v>LY-132</v>
          </cell>
          <cell r="C1214" t="str">
            <v>ESP</v>
          </cell>
          <cell r="D1214">
            <v>44736</v>
          </cell>
          <cell r="E1214">
            <v>0.33333333333333331</v>
          </cell>
          <cell r="F1214">
            <v>1.43E-2</v>
          </cell>
          <cell r="G1214"/>
          <cell r="H1214">
            <v>7.1599999999999997E-2</v>
          </cell>
          <cell r="I1214">
            <v>0.12509999999999999</v>
          </cell>
          <cell r="J1214">
            <v>3.1699999999999999E-2</v>
          </cell>
        </row>
        <row r="1215">
          <cell r="B1215" t="str">
            <v>LY-189</v>
          </cell>
          <cell r="C1215" t="str">
            <v>ESP</v>
          </cell>
          <cell r="D1215">
            <v>44736</v>
          </cell>
          <cell r="E1215">
            <v>0.30902777777777779</v>
          </cell>
          <cell r="F1215">
            <v>2.1100000000000001E-2</v>
          </cell>
          <cell r="G1215"/>
          <cell r="H1215">
            <v>9.4500000000000001E-2</v>
          </cell>
          <cell r="I1215">
            <v>0.17949999999999999</v>
          </cell>
          <cell r="J1215">
            <v>4.3999999999999997E-2</v>
          </cell>
        </row>
        <row r="1216">
          <cell r="B1216" t="str">
            <v>LY-007</v>
          </cell>
          <cell r="C1216" t="str">
            <v>ESP</v>
          </cell>
          <cell r="D1216">
            <v>44736</v>
          </cell>
          <cell r="E1216">
            <v>0.57638888888888895</v>
          </cell>
          <cell r="F1216">
            <v>2.7300000000000001E-2</v>
          </cell>
          <cell r="G1216"/>
          <cell r="H1216">
            <v>2.5600000000000001E-2</v>
          </cell>
          <cell r="I1216">
            <v>3.4799999999999998E-2</v>
          </cell>
          <cell r="J1216">
            <v>1.0800000000000001E-2</v>
          </cell>
        </row>
        <row r="1217">
          <cell r="B1217" t="str">
            <v>LY-189</v>
          </cell>
          <cell r="C1217" t="str">
            <v>ESP</v>
          </cell>
          <cell r="D1217">
            <v>44740</v>
          </cell>
          <cell r="E1217">
            <v>0.39930555555555558</v>
          </cell>
          <cell r="F1217">
            <v>4.0800000000000003E-2</v>
          </cell>
          <cell r="G1217"/>
          <cell r="H1217">
            <v>4.9500000000000002E-2</v>
          </cell>
          <cell r="I1217">
            <v>7.0099999999999996E-2</v>
          </cell>
          <cell r="J1217">
            <v>3.9699999999999999E-2</v>
          </cell>
        </row>
        <row r="1218">
          <cell r="B1218" t="str">
            <v>LY-067</v>
          </cell>
          <cell r="C1218" t="str">
            <v>ESP</v>
          </cell>
          <cell r="D1218">
            <v>44740</v>
          </cell>
          <cell r="E1218">
            <v>0.43055555555555558</v>
          </cell>
          <cell r="F1218">
            <v>2.07E-2</v>
          </cell>
          <cell r="G1218"/>
          <cell r="H1218">
            <v>2.3199999999999998E-2</v>
          </cell>
          <cell r="I1218">
            <v>0.15429999999999999</v>
          </cell>
          <cell r="J1218">
            <v>0.34889999999999999</v>
          </cell>
        </row>
        <row r="1219">
          <cell r="B1219" t="str">
            <v>LY-272</v>
          </cell>
          <cell r="C1219" t="str">
            <v>ESP</v>
          </cell>
          <cell r="D1219">
            <v>44741</v>
          </cell>
          <cell r="E1219">
            <v>0.36458333333333331</v>
          </cell>
          <cell r="F1219">
            <v>7.4999999999999997E-3</v>
          </cell>
          <cell r="G1219"/>
          <cell r="H1219">
            <v>1.04E-2</v>
          </cell>
          <cell r="I1219">
            <v>2.5600000000000001E-2</v>
          </cell>
          <cell r="J1219">
            <v>1.9599999999999999E-2</v>
          </cell>
        </row>
        <row r="1220">
          <cell r="B1220" t="str">
            <v>LY-299</v>
          </cell>
          <cell r="C1220" t="str">
            <v>ESP</v>
          </cell>
          <cell r="D1220">
            <v>44741</v>
          </cell>
          <cell r="E1220">
            <v>0.58333333333333337</v>
          </cell>
          <cell r="F1220">
            <v>2.5499999999999998E-2</v>
          </cell>
          <cell r="G1220"/>
          <cell r="H1220">
            <v>8.6999999999999994E-3</v>
          </cell>
          <cell r="I1220">
            <v>1.3599999999999999E-2</v>
          </cell>
          <cell r="J1220">
            <v>1.7500000000000002E-2</v>
          </cell>
        </row>
        <row r="1221">
          <cell r="B1221" t="str">
            <v>LY-189</v>
          </cell>
          <cell r="C1221" t="str">
            <v>ESP</v>
          </cell>
          <cell r="D1221">
            <v>44741</v>
          </cell>
          <cell r="E1221">
            <v>0.37152777777777773</v>
          </cell>
          <cell r="F1221">
            <v>9.7999999999999997E-3</v>
          </cell>
          <cell r="G1221"/>
          <cell r="H1221">
            <v>5.5899999999999998E-2</v>
          </cell>
          <cell r="I1221">
            <v>5.8700000000000002E-2</v>
          </cell>
          <cell r="J1221">
            <v>3.8600000000000002E-2</v>
          </cell>
        </row>
        <row r="1222">
          <cell r="B1222" t="str">
            <v>LY-299</v>
          </cell>
          <cell r="C1222" t="str">
            <v>ESP</v>
          </cell>
          <cell r="D1222">
            <v>44742</v>
          </cell>
          <cell r="E1222">
            <v>0.38194444444444442</v>
          </cell>
          <cell r="F1222">
            <v>1.3899999999999999E-2</v>
          </cell>
          <cell r="G1222"/>
          <cell r="H1222">
            <v>1.4800000000000001E-2</v>
          </cell>
          <cell r="I1222">
            <v>1.84E-2</v>
          </cell>
          <cell r="J1222">
            <v>1.8599999999999998E-2</v>
          </cell>
        </row>
        <row r="1223">
          <cell r="B1223" t="str">
            <v>LY-189</v>
          </cell>
          <cell r="C1223" t="str">
            <v>ESP</v>
          </cell>
          <cell r="D1223">
            <v>44742</v>
          </cell>
          <cell r="E1223">
            <v>0.40972222222222227</v>
          </cell>
          <cell r="F1223">
            <v>4.7000000000000002E-3</v>
          </cell>
          <cell r="G1223"/>
          <cell r="H1223">
            <v>1.2500000000000001E-2</v>
          </cell>
          <cell r="I1223">
            <v>1.5699999999999999E-2</v>
          </cell>
          <cell r="J1223">
            <v>7.1000000000000004E-3</v>
          </cell>
        </row>
        <row r="1224">
          <cell r="B1224" t="str">
            <v>LY-189</v>
          </cell>
          <cell r="C1224" t="str">
            <v>ESP</v>
          </cell>
          <cell r="D1224">
            <v>44743</v>
          </cell>
          <cell r="E1224">
            <v>0.375</v>
          </cell>
          <cell r="F1224">
            <v>1.3100000000000001E-2</v>
          </cell>
          <cell r="G1224"/>
          <cell r="H1224">
            <v>8.1799999999999998E-2</v>
          </cell>
          <cell r="I1224">
            <v>8.3299999999999999E-2</v>
          </cell>
          <cell r="J1224">
            <v>3.32E-2</v>
          </cell>
        </row>
        <row r="1225">
          <cell r="B1225" t="str">
            <v>LY-299</v>
          </cell>
          <cell r="C1225" t="str">
            <v>ESP</v>
          </cell>
          <cell r="D1225">
            <v>44743</v>
          </cell>
          <cell r="E1225">
            <v>0.35416666666666669</v>
          </cell>
          <cell r="F1225">
            <v>2.0500000000000001E-2</v>
          </cell>
          <cell r="G1225"/>
          <cell r="H1225">
            <v>6.3899999999999998E-2</v>
          </cell>
          <cell r="I1225">
            <v>0.90669999999999995</v>
          </cell>
          <cell r="J1225">
            <v>0.49149999999999999</v>
          </cell>
        </row>
        <row r="1226">
          <cell r="B1226" t="str">
            <v>LY-299</v>
          </cell>
          <cell r="C1226" t="str">
            <v>ESP</v>
          </cell>
          <cell r="D1226">
            <v>44747</v>
          </cell>
          <cell r="E1226">
            <v>0.35069444444444442</v>
          </cell>
          <cell r="F1226">
            <v>7.9000000000000008E-3</v>
          </cell>
          <cell r="G1226"/>
          <cell r="H1226">
            <v>0.13539999999999999</v>
          </cell>
          <cell r="I1226">
            <v>0.21590000000000001</v>
          </cell>
          <cell r="J1226">
            <v>6.5699999999999995E-2</v>
          </cell>
        </row>
        <row r="1227">
          <cell r="B1227" t="str">
            <v>LY-189</v>
          </cell>
          <cell r="C1227" t="str">
            <v>ESP</v>
          </cell>
          <cell r="D1227">
            <v>44747</v>
          </cell>
          <cell r="E1227">
            <v>0.36458333333333331</v>
          </cell>
          <cell r="F1227">
            <v>1.5299999999999999E-2</v>
          </cell>
          <cell r="G1227"/>
          <cell r="H1227">
            <v>3.6600000000000001E-2</v>
          </cell>
          <cell r="I1227">
            <v>3.8800000000000001E-2</v>
          </cell>
          <cell r="J1227">
            <v>2.41E-2</v>
          </cell>
        </row>
        <row r="1228">
          <cell r="B1228" t="str">
            <v>LY-162</v>
          </cell>
          <cell r="C1228" t="str">
            <v>ESP</v>
          </cell>
          <cell r="D1228">
            <v>44747</v>
          </cell>
          <cell r="E1228">
            <v>0.57986111111111105</v>
          </cell>
          <cell r="F1228">
            <v>1.0800000000000001E-2</v>
          </cell>
          <cell r="G1228"/>
          <cell r="H1228">
            <v>1.9300000000000001E-2</v>
          </cell>
          <cell r="I1228">
            <v>2.6499999999999999E-2</v>
          </cell>
          <cell r="J1228">
            <v>4.0300000000000002E-2</v>
          </cell>
        </row>
        <row r="1229">
          <cell r="B1229" t="str">
            <v>LY-141</v>
          </cell>
          <cell r="C1229" t="str">
            <v>ESP</v>
          </cell>
          <cell r="D1229">
            <v>44748</v>
          </cell>
          <cell r="E1229">
            <v>0.32916666666666666</v>
          </cell>
          <cell r="F1229">
            <v>1.04E-2</v>
          </cell>
          <cell r="G1229"/>
          <cell r="H1229">
            <v>1.67E-2</v>
          </cell>
          <cell r="I1229">
            <v>2.4E-2</v>
          </cell>
          <cell r="J1229">
            <v>1.72E-2</v>
          </cell>
        </row>
        <row r="1230">
          <cell r="B1230" t="str">
            <v>LY-286ST</v>
          </cell>
          <cell r="C1230" t="str">
            <v>ESP</v>
          </cell>
          <cell r="D1230">
            <v>44748</v>
          </cell>
          <cell r="E1230">
            <v>0.36458333333333331</v>
          </cell>
          <cell r="F1230">
            <v>3.3999999999999998E-3</v>
          </cell>
          <cell r="G1230"/>
          <cell r="H1230">
            <v>8.3000000000000001E-3</v>
          </cell>
          <cell r="I1230">
            <v>2.2800000000000001E-2</v>
          </cell>
          <cell r="J1230">
            <v>1.4200000000000001E-2</v>
          </cell>
        </row>
        <row r="1231">
          <cell r="B1231" t="str">
            <v>LY-125</v>
          </cell>
          <cell r="C1231" t="str">
            <v>ESP</v>
          </cell>
          <cell r="D1231">
            <v>44748</v>
          </cell>
          <cell r="E1231">
            <v>0.58333333333333337</v>
          </cell>
          <cell r="F1231">
            <v>5.0000000000000001E-3</v>
          </cell>
          <cell r="G1231"/>
          <cell r="H1231">
            <v>7.1000000000000004E-3</v>
          </cell>
          <cell r="I1231">
            <v>8.0000000000000002E-3</v>
          </cell>
          <cell r="J1231">
            <v>7.1999999999999998E-3</v>
          </cell>
        </row>
        <row r="1232">
          <cell r="B1232" t="str">
            <v>LY-031</v>
          </cell>
          <cell r="C1232" t="str">
            <v>ESP</v>
          </cell>
          <cell r="D1232">
            <v>44748</v>
          </cell>
          <cell r="E1232">
            <v>0.59375</v>
          </cell>
          <cell r="F1232">
            <v>1.4800000000000001E-2</v>
          </cell>
          <cell r="G1232"/>
          <cell r="H1232">
            <v>6.2300000000000001E-2</v>
          </cell>
          <cell r="I1232">
            <v>9.9299999999999999E-2</v>
          </cell>
          <cell r="J1232">
            <v>0.14699999999999999</v>
          </cell>
        </row>
        <row r="1233">
          <cell r="B1233" t="str">
            <v>LY-299</v>
          </cell>
          <cell r="C1233" t="str">
            <v>ESP</v>
          </cell>
          <cell r="D1233">
            <v>44749</v>
          </cell>
          <cell r="E1233">
            <v>0.4548611111111111</v>
          </cell>
          <cell r="F1233">
            <v>1.34E-2</v>
          </cell>
          <cell r="G1233"/>
          <cell r="H1233">
            <v>9.9099999999999994E-2</v>
          </cell>
          <cell r="I1233">
            <v>0.14419999999999999</v>
          </cell>
          <cell r="J1233">
            <v>4.4400000000000002E-2</v>
          </cell>
        </row>
        <row r="1234">
          <cell r="B1234" t="str">
            <v>LY-296</v>
          </cell>
          <cell r="C1234" t="str">
            <v>ESP</v>
          </cell>
          <cell r="D1234">
            <v>44749</v>
          </cell>
          <cell r="E1234">
            <v>0.45833333333333331</v>
          </cell>
          <cell r="F1234">
            <v>1.9900000000000001E-2</v>
          </cell>
          <cell r="G1234"/>
          <cell r="H1234">
            <v>0.1086</v>
          </cell>
          <cell r="I1234">
            <v>0.52659999999999996</v>
          </cell>
          <cell r="J1234">
            <v>0.76759999999999995</v>
          </cell>
        </row>
        <row r="1235">
          <cell r="B1235" t="str">
            <v>LY-297</v>
          </cell>
          <cell r="C1235" t="str">
            <v>ESP</v>
          </cell>
          <cell r="D1235">
            <v>44750</v>
          </cell>
          <cell r="E1235">
            <v>0.33333333333333331</v>
          </cell>
          <cell r="F1235">
            <v>7.7999999999999996E-3</v>
          </cell>
          <cell r="G1235"/>
          <cell r="H1235">
            <v>1.1599999999999999E-2</v>
          </cell>
          <cell r="I1235">
            <v>3.5000000000000003E-2</v>
          </cell>
          <cell r="J1235">
            <v>8.14E-2</v>
          </cell>
        </row>
        <row r="1236">
          <cell r="B1236" t="str">
            <v>LY-158</v>
          </cell>
          <cell r="C1236" t="str">
            <v>ESP</v>
          </cell>
          <cell r="D1236">
            <v>44750</v>
          </cell>
          <cell r="E1236">
            <v>0.34375</v>
          </cell>
          <cell r="F1236">
            <v>3.0000000000000001E-3</v>
          </cell>
          <cell r="G1236"/>
          <cell r="H1236">
            <v>7.6E-3</v>
          </cell>
          <cell r="I1236">
            <v>1.61E-2</v>
          </cell>
          <cell r="J1236">
            <v>8.3999999999999995E-3</v>
          </cell>
        </row>
        <row r="1237">
          <cell r="B1237" t="str">
            <v>LY-164</v>
          </cell>
          <cell r="C1237" t="str">
            <v>ESP</v>
          </cell>
          <cell r="D1237">
            <v>44750</v>
          </cell>
          <cell r="E1237">
            <v>0.57638888888888895</v>
          </cell>
          <cell r="F1237">
            <v>1.4800000000000001E-2</v>
          </cell>
          <cell r="G1237"/>
          <cell r="H1237">
            <v>3.6700000000000003E-2</v>
          </cell>
          <cell r="I1237">
            <v>4.1300000000000003E-2</v>
          </cell>
          <cell r="J1237">
            <v>3.9600000000000003E-2</v>
          </cell>
        </row>
        <row r="1238">
          <cell r="B1238" t="str">
            <v>LY-290</v>
          </cell>
          <cell r="C1238" t="str">
            <v>ESP</v>
          </cell>
          <cell r="D1238">
            <v>44750</v>
          </cell>
          <cell r="E1238">
            <v>0.58333333333333337</v>
          </cell>
          <cell r="F1238">
            <v>3.3999999999999998E-3</v>
          </cell>
          <cell r="G1238"/>
          <cell r="H1238">
            <v>0.01</v>
          </cell>
          <cell r="I1238">
            <v>2.1899999999999999E-2</v>
          </cell>
          <cell r="J1238">
            <v>9.1999999999999998E-3</v>
          </cell>
        </row>
        <row r="1239">
          <cell r="B1239" t="str">
            <v>LY-299</v>
          </cell>
          <cell r="C1239" t="str">
            <v>ESP</v>
          </cell>
          <cell r="D1239">
            <v>44751</v>
          </cell>
          <cell r="E1239">
            <v>0.34722222222222227</v>
          </cell>
          <cell r="F1239">
            <v>0.192</v>
          </cell>
          <cell r="G1239"/>
          <cell r="H1239">
            <v>3.5230000000000001</v>
          </cell>
          <cell r="I1239">
            <v>4.9116</v>
          </cell>
          <cell r="J1239">
            <v>1.3459000000000001</v>
          </cell>
        </row>
        <row r="1240">
          <cell r="B1240" t="str">
            <v>LY-110</v>
          </cell>
          <cell r="C1240" t="str">
            <v>ESP</v>
          </cell>
          <cell r="D1240">
            <v>44751</v>
          </cell>
          <cell r="E1240">
            <v>0.3576388888888889</v>
          </cell>
          <cell r="F1240">
            <v>2.3400000000000001E-2</v>
          </cell>
          <cell r="G1240"/>
          <cell r="H1240">
            <v>0.19570000000000001</v>
          </cell>
          <cell r="I1240">
            <v>0.25600000000000001</v>
          </cell>
          <cell r="J1240">
            <v>7.6899999999999996E-2</v>
          </cell>
        </row>
        <row r="1241">
          <cell r="B1241" t="str">
            <v>LY-110*</v>
          </cell>
          <cell r="C1241"/>
          <cell r="D1241">
            <v>44753</v>
          </cell>
          <cell r="E1241">
            <v>0.32361111111111113</v>
          </cell>
          <cell r="F1241">
            <v>4.9700000000000001E-2</v>
          </cell>
          <cell r="G1241"/>
          <cell r="H1241">
            <v>0.12429999999999999</v>
          </cell>
          <cell r="I1241">
            <v>0.35399999999999998</v>
          </cell>
          <cell r="J1241">
            <v>0.12139999999999999</v>
          </cell>
        </row>
        <row r="1242">
          <cell r="B1242" t="str">
            <v>LY-114</v>
          </cell>
          <cell r="C1242" t="str">
            <v>ESP</v>
          </cell>
          <cell r="D1242">
            <v>44753</v>
          </cell>
          <cell r="E1242">
            <v>0.34861111111111115</v>
          </cell>
          <cell r="F1242">
            <v>8.0999999999999996E-3</v>
          </cell>
          <cell r="G1242"/>
          <cell r="H1242">
            <v>7.7000000000000002E-3</v>
          </cell>
          <cell r="I1242">
            <v>1.5699999999999999E-2</v>
          </cell>
          <cell r="J1242">
            <v>3.0999999999999999E-3</v>
          </cell>
        </row>
        <row r="1243">
          <cell r="B1243" t="str">
            <v>LY-179</v>
          </cell>
          <cell r="C1243" t="str">
            <v>ESP</v>
          </cell>
          <cell r="D1243">
            <v>44753</v>
          </cell>
          <cell r="E1243">
            <v>0.56597222222222221</v>
          </cell>
          <cell r="F1243">
            <v>1.15E-2</v>
          </cell>
          <cell r="G1243"/>
          <cell r="H1243">
            <v>1.7899999999999999E-2</v>
          </cell>
          <cell r="I1243">
            <v>2.8799999999999999E-2</v>
          </cell>
          <cell r="J1243">
            <v>5.2400000000000002E-2</v>
          </cell>
        </row>
        <row r="1244">
          <cell r="B1244" t="str">
            <v>LY-299</v>
          </cell>
          <cell r="C1244" t="str">
            <v>ESP</v>
          </cell>
          <cell r="D1244">
            <v>44753</v>
          </cell>
          <cell r="E1244">
            <v>0.34375</v>
          </cell>
          <cell r="F1244">
            <v>9.0800000000000006E-2</v>
          </cell>
          <cell r="G1244"/>
          <cell r="H1244">
            <v>1.2690999999999999</v>
          </cell>
          <cell r="I1244">
            <v>2.0863</v>
          </cell>
          <cell r="J1244">
            <v>1.0215000000000001</v>
          </cell>
        </row>
        <row r="1245">
          <cell r="B1245" t="str">
            <v>LY-299</v>
          </cell>
          <cell r="C1245"/>
          <cell r="D1245">
            <v>44754</v>
          </cell>
          <cell r="E1245">
            <v>0.37152777777777773</v>
          </cell>
          <cell r="F1245">
            <v>3.7100000000000001E-2</v>
          </cell>
          <cell r="G1245"/>
          <cell r="H1245">
            <v>0.49719999999999998</v>
          </cell>
          <cell r="I1245">
            <v>1.2706</v>
          </cell>
          <cell r="J1245">
            <v>0.91290000000000004</v>
          </cell>
        </row>
        <row r="1246">
          <cell r="B1246" t="str">
            <v>LY-175</v>
          </cell>
          <cell r="C1246" t="str">
            <v>ESP</v>
          </cell>
          <cell r="D1246">
            <v>44754</v>
          </cell>
          <cell r="E1246">
            <v>0.36805555555555558</v>
          </cell>
          <cell r="F1246">
            <v>4.1000000000000003E-3</v>
          </cell>
          <cell r="G1246"/>
          <cell r="H1246">
            <v>7.1999999999999998E-3</v>
          </cell>
          <cell r="I1246">
            <v>1.7500000000000002E-2</v>
          </cell>
          <cell r="J1246">
            <v>1.8700000000000001E-2</v>
          </cell>
        </row>
        <row r="1247">
          <cell r="B1247" t="str">
            <v>MN-63</v>
          </cell>
          <cell r="C1247" t="str">
            <v>ESP</v>
          </cell>
          <cell r="D1247">
            <v>44754</v>
          </cell>
          <cell r="E1247">
            <v>0.58333333333333337</v>
          </cell>
          <cell r="F1247">
            <v>1.06E-2</v>
          </cell>
          <cell r="G1247"/>
          <cell r="H1247">
            <v>3.0099999999999998E-2</v>
          </cell>
          <cell r="I1247">
            <v>7.9299999999999995E-2</v>
          </cell>
          <cell r="J1247">
            <v>4.1599999999999998E-2</v>
          </cell>
        </row>
        <row r="1248">
          <cell r="B1248" t="str">
            <v>MN-94</v>
          </cell>
          <cell r="C1248" t="str">
            <v>ESP</v>
          </cell>
          <cell r="D1248">
            <v>44754</v>
          </cell>
          <cell r="E1248">
            <v>0.58680555555555558</v>
          </cell>
          <cell r="F1248">
            <v>2E-3</v>
          </cell>
          <cell r="G1248"/>
          <cell r="H1248">
            <v>1.11E-2</v>
          </cell>
          <cell r="I1248">
            <v>1.49E-2</v>
          </cell>
          <cell r="J1248">
            <v>2.5399999999999999E-2</v>
          </cell>
        </row>
        <row r="1249">
          <cell r="B1249" t="str">
            <v>MN-12</v>
          </cell>
          <cell r="C1249" t="str">
            <v>BM</v>
          </cell>
          <cell r="D1249">
            <v>44755</v>
          </cell>
          <cell r="E1249">
            <v>0.3263888888888889</v>
          </cell>
          <cell r="F1249">
            <v>1.5E-3</v>
          </cell>
          <cell r="G1249"/>
          <cell r="H1249">
            <v>5.9999999999999995E-4</v>
          </cell>
          <cell r="I1249">
            <v>7.9000000000000008E-3</v>
          </cell>
          <cell r="J1249">
            <v>1.14E-2</v>
          </cell>
        </row>
        <row r="1250">
          <cell r="B1250" t="str">
            <v>MN-57</v>
          </cell>
          <cell r="C1250" t="str">
            <v>ESP</v>
          </cell>
          <cell r="D1250">
            <v>44755</v>
          </cell>
          <cell r="E1250">
            <v>0.33333333333333331</v>
          </cell>
          <cell r="F1250">
            <v>7.4000000000000003E-3</v>
          </cell>
          <cell r="G1250"/>
          <cell r="H1250">
            <v>6.6E-3</v>
          </cell>
          <cell r="I1250">
            <v>1.8700000000000001E-2</v>
          </cell>
          <cell r="J1250">
            <v>2.46E-2</v>
          </cell>
        </row>
        <row r="1251">
          <cell r="B1251" t="str">
            <v>MN-84</v>
          </cell>
          <cell r="C1251" t="str">
            <v>ESP</v>
          </cell>
          <cell r="D1251">
            <v>44755</v>
          </cell>
          <cell r="E1251">
            <v>0.56944444444444442</v>
          </cell>
          <cell r="F1251">
            <v>1.7600000000000001E-2</v>
          </cell>
          <cell r="G1251"/>
          <cell r="H1251">
            <v>1.14E-2</v>
          </cell>
          <cell r="I1251">
            <v>3.7400000000000003E-2</v>
          </cell>
          <cell r="J1251">
            <v>2.2499999999999999E-2</v>
          </cell>
        </row>
        <row r="1252">
          <cell r="B1252" t="str">
            <v>MN-92</v>
          </cell>
          <cell r="C1252" t="str">
            <v>ESP</v>
          </cell>
          <cell r="D1252">
            <v>44755</v>
          </cell>
          <cell r="E1252">
            <v>0.57291666666666663</v>
          </cell>
          <cell r="F1252">
            <v>2.5999999999999999E-3</v>
          </cell>
          <cell r="G1252"/>
          <cell r="H1252">
            <v>1.9E-3</v>
          </cell>
          <cell r="I1252">
            <v>6.1999999999999998E-3</v>
          </cell>
          <cell r="J1252">
            <v>8.3999999999999995E-3</v>
          </cell>
        </row>
        <row r="1253">
          <cell r="B1253" t="str">
            <v>MN-58</v>
          </cell>
          <cell r="C1253" t="str">
            <v>ESP</v>
          </cell>
          <cell r="D1253">
            <v>44756</v>
          </cell>
          <cell r="E1253">
            <v>0.33680555555555558</v>
          </cell>
          <cell r="F1253">
            <v>3.3E-3</v>
          </cell>
          <cell r="G1253"/>
          <cell r="H1253">
            <v>4.0000000000000001E-3</v>
          </cell>
          <cell r="I1253">
            <v>7.9000000000000008E-3</v>
          </cell>
          <cell r="J1253">
            <v>1.12E-2</v>
          </cell>
        </row>
        <row r="1254">
          <cell r="B1254" t="str">
            <v>MN-74</v>
          </cell>
          <cell r="C1254" t="str">
            <v>ESP</v>
          </cell>
          <cell r="D1254">
            <v>44756</v>
          </cell>
          <cell r="E1254">
            <v>0.34027777777777773</v>
          </cell>
          <cell r="F1254">
            <v>7.7000000000000002E-3</v>
          </cell>
          <cell r="G1254"/>
          <cell r="H1254">
            <v>5.8999999999999999E-3</v>
          </cell>
          <cell r="I1254">
            <v>1.78E-2</v>
          </cell>
          <cell r="J1254">
            <v>1.23E-2</v>
          </cell>
        </row>
        <row r="1255">
          <cell r="B1255" t="str">
            <v>MN-68ST</v>
          </cell>
          <cell r="C1255" t="str">
            <v>ESP</v>
          </cell>
          <cell r="D1255">
            <v>44756</v>
          </cell>
          <cell r="E1255">
            <v>0.57291666666666663</v>
          </cell>
          <cell r="F1255">
            <v>9.9000000000000008E-3</v>
          </cell>
          <cell r="G1255"/>
          <cell r="H1255">
            <v>9.7999999999999997E-3</v>
          </cell>
          <cell r="I1255">
            <v>1.6799999999999999E-2</v>
          </cell>
          <cell r="J1255">
            <v>2.7799999999999998E-2</v>
          </cell>
        </row>
        <row r="1256">
          <cell r="B1256" t="str">
            <v>CY-57</v>
          </cell>
          <cell r="C1256" t="str">
            <v>ESP</v>
          </cell>
          <cell r="D1256">
            <v>44756</v>
          </cell>
          <cell r="E1256">
            <v>0.58680555555555558</v>
          </cell>
          <cell r="F1256">
            <v>2.2000000000000001E-3</v>
          </cell>
          <cell r="G1256"/>
          <cell r="H1256">
            <v>3.09E-2</v>
          </cell>
          <cell r="I1256">
            <v>1.83E-2</v>
          </cell>
          <cell r="J1256">
            <v>7.6E-3</v>
          </cell>
        </row>
        <row r="1257">
          <cell r="B1257" t="str">
            <v>LY-070</v>
          </cell>
          <cell r="C1257" t="str">
            <v>ESP</v>
          </cell>
          <cell r="D1257">
            <v>44757</v>
          </cell>
          <cell r="E1257">
            <v>0.33333333333333331</v>
          </cell>
          <cell r="F1257">
            <v>7.1999999999999998E-3</v>
          </cell>
          <cell r="G1257"/>
          <cell r="H1257">
            <v>1.8700000000000001E-2</v>
          </cell>
          <cell r="I1257">
            <v>3.8800000000000001E-2</v>
          </cell>
          <cell r="J1257">
            <v>4.3099999999999999E-2</v>
          </cell>
        </row>
        <row r="1258">
          <cell r="B1258" t="str">
            <v>LY-151</v>
          </cell>
          <cell r="C1258" t="str">
            <v>ESP</v>
          </cell>
          <cell r="D1258">
            <v>44757</v>
          </cell>
          <cell r="E1258">
            <v>0.33680555555555558</v>
          </cell>
          <cell r="F1258">
            <v>4.1000000000000003E-3</v>
          </cell>
          <cell r="G1258"/>
          <cell r="H1258">
            <v>1.4E-2</v>
          </cell>
          <cell r="I1258">
            <v>6.2799999999999995E-2</v>
          </cell>
          <cell r="J1258">
            <v>1.54E-2</v>
          </cell>
        </row>
        <row r="1259">
          <cell r="B1259" t="str">
            <v>LY-237</v>
          </cell>
          <cell r="C1259" t="str">
            <v>ESP</v>
          </cell>
          <cell r="D1259">
            <v>44757</v>
          </cell>
          <cell r="E1259">
            <v>0.57291666666666663</v>
          </cell>
          <cell r="F1259">
            <v>6.4000000000000003E-3</v>
          </cell>
          <cell r="G1259"/>
          <cell r="H1259">
            <v>1.6E-2</v>
          </cell>
          <cell r="I1259">
            <v>3.8300000000000001E-2</v>
          </cell>
          <cell r="J1259">
            <v>7.4999999999999997E-3</v>
          </cell>
        </row>
        <row r="1260">
          <cell r="B1260" t="str">
            <v>LY-269</v>
          </cell>
          <cell r="C1260" t="str">
            <v>ESP</v>
          </cell>
          <cell r="D1260">
            <v>44757</v>
          </cell>
          <cell r="E1260">
            <v>0.57986111111111105</v>
          </cell>
          <cell r="F1260">
            <v>5.1999999999999998E-3</v>
          </cell>
          <cell r="G1260"/>
          <cell r="H1260">
            <v>8.0999999999999996E-3</v>
          </cell>
          <cell r="I1260">
            <v>1.46E-2</v>
          </cell>
          <cell r="J1260">
            <v>7.6E-3</v>
          </cell>
        </row>
        <row r="1261">
          <cell r="B1261" t="str">
            <v>LY-177</v>
          </cell>
          <cell r="C1261" t="str">
            <v>ESP</v>
          </cell>
          <cell r="D1261">
            <v>44760</v>
          </cell>
          <cell r="E1261">
            <v>0.33680555555555558</v>
          </cell>
          <cell r="F1261">
            <v>1.7399999999999999E-2</v>
          </cell>
          <cell r="G1261"/>
          <cell r="H1261">
            <v>5.2400000000000002E-2</v>
          </cell>
          <cell r="I1261">
            <v>3.3000000000000002E-2</v>
          </cell>
          <cell r="J1261">
            <v>1.09E-2</v>
          </cell>
        </row>
        <row r="1262">
          <cell r="B1262" t="str">
            <v>CY-57</v>
          </cell>
          <cell r="C1262" t="str">
            <v>ESP</v>
          </cell>
          <cell r="D1262">
            <v>44760</v>
          </cell>
          <cell r="E1262">
            <v>0.35416666666666669</v>
          </cell>
          <cell r="F1262">
            <v>1.01E-2</v>
          </cell>
          <cell r="G1262"/>
          <cell r="H1262">
            <v>9.9000000000000005E-2</v>
          </cell>
          <cell r="I1262">
            <v>0.1031</v>
          </cell>
          <cell r="J1262">
            <v>3.5200000000000002E-2</v>
          </cell>
        </row>
        <row r="1263">
          <cell r="B1263" t="str">
            <v>COS-A</v>
          </cell>
          <cell r="C1263" t="str">
            <v>ESP</v>
          </cell>
          <cell r="D1263">
            <v>44761</v>
          </cell>
          <cell r="E1263">
            <v>0.44097222222222227</v>
          </cell>
          <cell r="F1263">
            <v>2.2200000000000001E-2</v>
          </cell>
          <cell r="G1263"/>
          <cell r="H1263">
            <v>0.03</v>
          </cell>
          <cell r="I1263">
            <v>0.1101</v>
          </cell>
          <cell r="J1263">
            <v>7.6899999999999996E-2</v>
          </cell>
        </row>
        <row r="1264">
          <cell r="B1264"/>
          <cell r="C1264"/>
          <cell r="D1264">
            <v>44763</v>
          </cell>
          <cell r="E1264">
            <v>0.36805555555555558</v>
          </cell>
          <cell r="F1264">
            <v>3.9899999999999998E-2</v>
          </cell>
          <cell r="G1264"/>
          <cell r="H1264">
            <v>9.9599999999999994E-2</v>
          </cell>
          <cell r="I1264">
            <v>2.6438000000000001</v>
          </cell>
          <cell r="J1264">
            <v>8.4808000000000003</v>
          </cell>
        </row>
        <row r="1265">
          <cell r="B1265" t="str">
            <v>COS-CW-01ST</v>
          </cell>
          <cell r="C1265" t="str">
            <v>ESP</v>
          </cell>
          <cell r="D1265">
            <v>44761</v>
          </cell>
          <cell r="E1265">
            <v>0.44444444444444442</v>
          </cell>
          <cell r="F1265">
            <v>5.3E-3</v>
          </cell>
          <cell r="G1265"/>
          <cell r="H1265">
            <v>7.7999999999999996E-3</v>
          </cell>
          <cell r="I1265">
            <v>4.6699999999999998E-2</v>
          </cell>
          <cell r="J1265">
            <v>6.1100000000000002E-2</v>
          </cell>
        </row>
        <row r="1266">
          <cell r="B1266"/>
          <cell r="C1266"/>
          <cell r="D1266">
            <v>44763</v>
          </cell>
          <cell r="E1266">
            <v>0.37013888888888885</v>
          </cell>
          <cell r="F1266">
            <v>1.8200000000000001E-2</v>
          </cell>
          <cell r="G1266"/>
          <cell r="H1266">
            <v>7.5399999999999995E-2</v>
          </cell>
          <cell r="I1266">
            <v>8.6699999999999999E-2</v>
          </cell>
          <cell r="J1266">
            <v>4.07E-2</v>
          </cell>
        </row>
        <row r="1267">
          <cell r="B1267" t="str">
            <v>REX-NE-001</v>
          </cell>
          <cell r="C1267" t="str">
            <v>ESP</v>
          </cell>
          <cell r="D1267">
            <v>44763</v>
          </cell>
          <cell r="E1267">
            <v>0.4201388888888889</v>
          </cell>
          <cell r="F1267">
            <v>1.7100000000000001E-2</v>
          </cell>
          <cell r="G1267"/>
          <cell r="H1267">
            <v>4.5999999999999999E-2</v>
          </cell>
          <cell r="I1267">
            <v>8.8900000000000007E-2</v>
          </cell>
          <cell r="J1267">
            <v>0.13370000000000001</v>
          </cell>
        </row>
        <row r="1268">
          <cell r="B1268" t="str">
            <v>REX-NE-002</v>
          </cell>
          <cell r="C1268" t="str">
            <v>ESP</v>
          </cell>
          <cell r="D1268">
            <v>44763</v>
          </cell>
          <cell r="E1268">
            <v>0.4201388888888889</v>
          </cell>
          <cell r="F1268">
            <v>8.0999999999999996E-3</v>
          </cell>
          <cell r="G1268"/>
          <cell r="H1268">
            <v>4.5100000000000001E-2</v>
          </cell>
          <cell r="I1268">
            <v>5.96E-2</v>
          </cell>
          <cell r="J1268">
            <v>2.8500000000000001E-2</v>
          </cell>
        </row>
        <row r="1269">
          <cell r="B1269" t="str">
            <v>REX-NE-003</v>
          </cell>
          <cell r="C1269" t="str">
            <v>ESP</v>
          </cell>
          <cell r="D1269">
            <v>44763</v>
          </cell>
          <cell r="E1269">
            <v>0.62083333333333335</v>
          </cell>
          <cell r="F1269">
            <v>2.63E-2</v>
          </cell>
          <cell r="G1269"/>
          <cell r="H1269">
            <v>4.0399999999999998E-2</v>
          </cell>
          <cell r="I1269">
            <v>7.2999999999999995E-2</v>
          </cell>
          <cell r="J1269">
            <v>7.0999999999999994E-2</v>
          </cell>
        </row>
        <row r="1270">
          <cell r="B1270" t="str">
            <v>REX-006</v>
          </cell>
          <cell r="C1270" t="str">
            <v>ESP</v>
          </cell>
          <cell r="D1270">
            <v>44763</v>
          </cell>
          <cell r="E1270">
            <v>0.625</v>
          </cell>
          <cell r="F1270">
            <v>2.7000000000000001E-3</v>
          </cell>
          <cell r="G1270"/>
          <cell r="H1270">
            <v>6.1999999999999998E-3</v>
          </cell>
          <cell r="I1270">
            <v>5.5E-2</v>
          </cell>
          <cell r="J1270">
            <v>8.3599999999999994E-2</v>
          </cell>
        </row>
        <row r="1271">
          <cell r="B1271" t="str">
            <v>REX-NE-004</v>
          </cell>
          <cell r="C1271" t="str">
            <v>ESP</v>
          </cell>
          <cell r="D1271">
            <v>44764</v>
          </cell>
          <cell r="E1271">
            <v>0.375</v>
          </cell>
          <cell r="F1271">
            <v>8.9999999999999993E-3</v>
          </cell>
          <cell r="G1271"/>
          <cell r="H1271">
            <v>3.49E-2</v>
          </cell>
          <cell r="I1271">
            <v>5.5399999999999998E-2</v>
          </cell>
          <cell r="J1271">
            <v>4.65E-2</v>
          </cell>
        </row>
        <row r="1272">
          <cell r="B1272" t="str">
            <v>REX-NE-005ST-02</v>
          </cell>
          <cell r="C1272" t="str">
            <v>ESP</v>
          </cell>
          <cell r="D1272">
            <v>44764</v>
          </cell>
          <cell r="E1272">
            <v>0.37847222222222227</v>
          </cell>
          <cell r="F1272">
            <v>1.61E-2</v>
          </cell>
          <cell r="G1272"/>
          <cell r="H1272">
            <v>3.1800000000000002E-2</v>
          </cell>
          <cell r="I1272">
            <v>3.27E-2</v>
          </cell>
          <cell r="J1272">
            <v>1.55E-2</v>
          </cell>
        </row>
        <row r="1273">
          <cell r="B1273" t="str">
            <v>REX-002</v>
          </cell>
          <cell r="C1273" t="str">
            <v>ESP</v>
          </cell>
          <cell r="D1273">
            <v>44764</v>
          </cell>
          <cell r="E1273">
            <v>0.58680555555555558</v>
          </cell>
          <cell r="F1273">
            <v>8.0000000000000002E-3</v>
          </cell>
          <cell r="G1273"/>
          <cell r="H1273">
            <v>5.3E-3</v>
          </cell>
          <cell r="I1273">
            <v>5.1999999999999998E-3</v>
          </cell>
          <cell r="J1273">
            <v>1.21E-2</v>
          </cell>
        </row>
        <row r="1274">
          <cell r="B1274" t="str">
            <v>REX-001</v>
          </cell>
          <cell r="C1274" t="str">
            <v>ESP</v>
          </cell>
          <cell r="D1274">
            <v>44764</v>
          </cell>
          <cell r="E1274">
            <v>0.58680555555555558</v>
          </cell>
          <cell r="F1274">
            <v>3.0999999999999999E-3</v>
          </cell>
          <cell r="G1274"/>
          <cell r="H1274">
            <v>3.8E-3</v>
          </cell>
          <cell r="I1274">
            <v>0.01</v>
          </cell>
          <cell r="J1274">
            <v>1.09E-2</v>
          </cell>
        </row>
        <row r="1275">
          <cell r="B1275" t="str">
            <v>REX-006</v>
          </cell>
          <cell r="C1275" t="str">
            <v>ESP</v>
          </cell>
          <cell r="D1275">
            <v>44765</v>
          </cell>
          <cell r="E1275">
            <v>0.37152777777777773</v>
          </cell>
          <cell r="F1275">
            <v>3.5799999999999998E-2</v>
          </cell>
          <cell r="G1275"/>
          <cell r="H1275">
            <v>9.4200000000000006E-2</v>
          </cell>
          <cell r="I1275">
            <v>0.10150000000000001</v>
          </cell>
          <cell r="J1275">
            <v>4.7600000000000003E-2</v>
          </cell>
        </row>
        <row r="1276">
          <cell r="B1276" t="str">
            <v>REX-006</v>
          </cell>
          <cell r="C1276" t="str">
            <v>ESP</v>
          </cell>
          <cell r="D1276">
            <v>44767</v>
          </cell>
          <cell r="E1276">
            <v>0.29166666666666669</v>
          </cell>
          <cell r="F1276">
            <v>1.06E-2</v>
          </cell>
          <cell r="G1276"/>
          <cell r="H1276">
            <v>6.0000000000000001E-3</v>
          </cell>
          <cell r="I1276">
            <v>8.5599999999999996E-2</v>
          </cell>
          <cell r="J1276">
            <v>0.1104</v>
          </cell>
        </row>
        <row r="1277">
          <cell r="B1277" t="str">
            <v>REX-005</v>
          </cell>
          <cell r="C1277" t="str">
            <v>ESP</v>
          </cell>
          <cell r="D1277">
            <v>44765</v>
          </cell>
          <cell r="E1277">
            <v>0.36458333333333331</v>
          </cell>
          <cell r="F1277">
            <v>3.0999999999999999E-3</v>
          </cell>
          <cell r="G1277"/>
          <cell r="H1277">
            <v>3.7000000000000002E-3</v>
          </cell>
          <cell r="I1277">
            <v>4.7999999999999996E-3</v>
          </cell>
          <cell r="J1277">
            <v>8.6E-3</v>
          </cell>
        </row>
        <row r="1278">
          <cell r="B1278" t="str">
            <v>REX-005</v>
          </cell>
          <cell r="C1278" t="str">
            <v>ESP</v>
          </cell>
          <cell r="D1278">
            <v>44767</v>
          </cell>
          <cell r="E1278">
            <v>0.30902777777777779</v>
          </cell>
          <cell r="F1278">
            <v>2.8999999999999998E-3</v>
          </cell>
          <cell r="G1278"/>
          <cell r="H1278">
            <v>2.3E-3</v>
          </cell>
          <cell r="I1278">
            <v>8.8999999999999999E-3</v>
          </cell>
          <cell r="J1278">
            <v>1.72E-2</v>
          </cell>
        </row>
        <row r="1279">
          <cell r="B1279" t="str">
            <v>CO-Y-09ST</v>
          </cell>
          <cell r="C1279" t="str">
            <v>ESP</v>
          </cell>
          <cell r="D1279">
            <v>44767</v>
          </cell>
          <cell r="E1279" t="str">
            <v>8.45</v>
          </cell>
          <cell r="F1279">
            <v>5.0000000000000001E-3</v>
          </cell>
          <cell r="G1279"/>
          <cell r="H1279">
            <v>1.95E-2</v>
          </cell>
          <cell r="I1279">
            <v>1.9699999999999999E-2</v>
          </cell>
          <cell r="J1279">
            <v>2.2200000000000001E-2</v>
          </cell>
        </row>
        <row r="1280">
          <cell r="B1280" t="str">
            <v>MOY-005</v>
          </cell>
          <cell r="C1280" t="str">
            <v>ESP</v>
          </cell>
          <cell r="D1280">
            <v>44767</v>
          </cell>
          <cell r="E1280" t="str">
            <v>8.35</v>
          </cell>
          <cell r="F1280">
            <v>4.1999999999999997E-3</v>
          </cell>
          <cell r="G1280"/>
          <cell r="H1280">
            <v>6.7799999999999999E-2</v>
          </cell>
          <cell r="I1280">
            <v>8.7099999999999997E-2</v>
          </cell>
          <cell r="J1280">
            <v>3.5999999999999997E-2</v>
          </cell>
        </row>
        <row r="1281">
          <cell r="B1281" t="str">
            <v>CO-Y-004</v>
          </cell>
          <cell r="C1281" t="str">
            <v>ESP</v>
          </cell>
          <cell r="D1281">
            <v>44767</v>
          </cell>
          <cell r="E1281">
            <v>0.57986111111111105</v>
          </cell>
          <cell r="F1281">
            <v>9.7999999999999997E-3</v>
          </cell>
          <cell r="G1281"/>
          <cell r="H1281">
            <v>0.16259999999999999</v>
          </cell>
          <cell r="I1281">
            <v>4.7699999999999999E-2</v>
          </cell>
          <cell r="J1281">
            <v>2.8799999999999999E-2</v>
          </cell>
        </row>
        <row r="1282">
          <cell r="B1282" t="str">
            <v>CO-Y-11</v>
          </cell>
          <cell r="C1282" t="str">
            <v>ESP</v>
          </cell>
          <cell r="D1282">
            <v>44767</v>
          </cell>
          <cell r="E1282">
            <v>0.59375</v>
          </cell>
          <cell r="F1282">
            <v>2E-3</v>
          </cell>
          <cell r="G1282"/>
          <cell r="H1282">
            <v>1.9800000000000002E-2</v>
          </cell>
          <cell r="I1282">
            <v>2.8400000000000002E-2</v>
          </cell>
          <cell r="J1282">
            <v>1.38E-2</v>
          </cell>
        </row>
        <row r="1283">
          <cell r="B1283" t="str">
            <v>CO A</v>
          </cell>
          <cell r="C1283" t="str">
            <v>ESP</v>
          </cell>
          <cell r="D1283">
            <v>44768</v>
          </cell>
          <cell r="E1283">
            <v>0.38541666666666669</v>
          </cell>
          <cell r="F1283">
            <v>2.1899999999999999E-2</v>
          </cell>
          <cell r="G1283"/>
          <cell r="H1283">
            <v>2.58E-2</v>
          </cell>
          <cell r="I1283">
            <v>8.5500000000000007E-2</v>
          </cell>
          <cell r="J1283">
            <v>4.7800000000000002E-2</v>
          </cell>
        </row>
        <row r="1284">
          <cell r="B1284" t="str">
            <v>CO A</v>
          </cell>
          <cell r="C1284" t="str">
            <v>ESP</v>
          </cell>
          <cell r="D1284">
            <v>44769</v>
          </cell>
          <cell r="E1284">
            <v>0.3125</v>
          </cell>
          <cell r="F1284">
            <v>2.0400000000000001E-2</v>
          </cell>
          <cell r="G1284"/>
          <cell r="H1284">
            <v>3.61E-2</v>
          </cell>
          <cell r="I1284">
            <v>0.15609999999999999</v>
          </cell>
          <cell r="J1284">
            <v>8.43E-2</v>
          </cell>
        </row>
        <row r="1285">
          <cell r="B1285" t="str">
            <v>CO-C-03</v>
          </cell>
          <cell r="C1285" t="str">
            <v>ESP</v>
          </cell>
          <cell r="D1285">
            <v>44768</v>
          </cell>
          <cell r="E1285">
            <v>0.3888888888888889</v>
          </cell>
          <cell r="F1285">
            <v>1.7600000000000001E-2</v>
          </cell>
          <cell r="G1285"/>
          <cell r="H1285">
            <v>3.4000000000000002E-2</v>
          </cell>
          <cell r="I1285">
            <v>2.4299999999999999E-2</v>
          </cell>
          <cell r="J1285">
            <v>1.21E-2</v>
          </cell>
        </row>
        <row r="1286">
          <cell r="B1286" t="str">
            <v>CO-G</v>
          </cell>
          <cell r="C1286" t="str">
            <v>ESP</v>
          </cell>
          <cell r="D1286">
            <v>44769</v>
          </cell>
          <cell r="E1286">
            <v>0.36319444444444443</v>
          </cell>
          <cell r="F1286">
            <v>5.0000000000000001E-4</v>
          </cell>
          <cell r="G1286"/>
          <cell r="H1286">
            <v>2.5999999999999999E-3</v>
          </cell>
          <cell r="I1286">
            <v>7.4999999999999997E-3</v>
          </cell>
          <cell r="J1286">
            <v>9.4999999999999998E-3</v>
          </cell>
        </row>
        <row r="1287">
          <cell r="B1287" t="str">
            <v>CO G -04</v>
          </cell>
          <cell r="C1287" t="str">
            <v>ESP</v>
          </cell>
          <cell r="D1287">
            <v>44769</v>
          </cell>
          <cell r="E1287">
            <v>0.36458333333333331</v>
          </cell>
          <cell r="F1287">
            <v>2E-3</v>
          </cell>
          <cell r="G1287"/>
          <cell r="H1287">
            <v>1.2200000000000001E-2</v>
          </cell>
          <cell r="I1287">
            <v>1.67E-2</v>
          </cell>
          <cell r="J1287">
            <v>1.6899999999999998E-2</v>
          </cell>
        </row>
        <row r="1288">
          <cell r="B1288" t="str">
            <v xml:space="preserve">CO G -08 </v>
          </cell>
          <cell r="C1288" t="str">
            <v>ESP</v>
          </cell>
          <cell r="D1288">
            <v>44769</v>
          </cell>
          <cell r="E1288">
            <v>0.55902777777777779</v>
          </cell>
          <cell r="F1288">
            <v>2.2000000000000001E-3</v>
          </cell>
          <cell r="G1288"/>
          <cell r="H1288">
            <v>1.2800000000000001E-2</v>
          </cell>
          <cell r="I1288">
            <v>4.1000000000000003E-3</v>
          </cell>
          <cell r="J1288">
            <v>4.0000000000000001E-3</v>
          </cell>
        </row>
        <row r="1289">
          <cell r="B1289" t="str">
            <v>CO G -07</v>
          </cell>
          <cell r="C1289" t="str">
            <v>ESP</v>
          </cell>
          <cell r="D1289">
            <v>44769</v>
          </cell>
          <cell r="E1289">
            <v>0.5625</v>
          </cell>
          <cell r="F1289">
            <v>9.1999999999999998E-3</v>
          </cell>
          <cell r="G1289"/>
          <cell r="H1289">
            <v>3.0800000000000001E-2</v>
          </cell>
          <cell r="I1289">
            <v>6.08E-2</v>
          </cell>
          <cell r="J1289">
            <v>5.0500000000000003E-2</v>
          </cell>
        </row>
        <row r="1290">
          <cell r="B1290" t="str">
            <v>CO G-10</v>
          </cell>
          <cell r="C1290" t="str">
            <v>ESP</v>
          </cell>
          <cell r="D1290">
            <v>44770</v>
          </cell>
          <cell r="E1290">
            <v>0.31388888888888888</v>
          </cell>
          <cell r="F1290">
            <v>1.11E-2</v>
          </cell>
          <cell r="G1290"/>
          <cell r="H1290">
            <v>1.8200000000000001E-2</v>
          </cell>
          <cell r="I1290">
            <v>1.4200000000000001E-2</v>
          </cell>
          <cell r="J1290">
            <v>6.7000000000000002E-3</v>
          </cell>
        </row>
        <row r="1291">
          <cell r="B1291" t="str">
            <v>CO G-14</v>
          </cell>
          <cell r="C1291" t="str">
            <v>ESP</v>
          </cell>
          <cell r="D1291">
            <v>44770</v>
          </cell>
          <cell r="E1291">
            <v>0.31944444444444448</v>
          </cell>
          <cell r="F1291">
            <v>6.4999999999999997E-3</v>
          </cell>
          <cell r="G1291"/>
          <cell r="H1291">
            <v>1.54E-2</v>
          </cell>
          <cell r="I1291">
            <v>4.0099999999999997E-2</v>
          </cell>
          <cell r="J1291">
            <v>3.8399999999999997E-2</v>
          </cell>
        </row>
        <row r="1292">
          <cell r="B1292" t="str">
            <v>CR-09</v>
          </cell>
          <cell r="C1292" t="str">
            <v>ESP</v>
          </cell>
          <cell r="D1292">
            <v>44770</v>
          </cell>
          <cell r="E1292">
            <v>0.56388888888888888</v>
          </cell>
          <cell r="F1292">
            <v>5.7999999999999996E-3</v>
          </cell>
          <cell r="G1292"/>
          <cell r="H1292">
            <v>8.6999999999999994E-3</v>
          </cell>
          <cell r="I1292">
            <v>1.0699999999999999E-2</v>
          </cell>
          <cell r="J1292">
            <v>1.04E-2</v>
          </cell>
        </row>
        <row r="1293">
          <cell r="B1293" t="str">
            <v>CR-19</v>
          </cell>
          <cell r="C1293" t="str">
            <v>ESP</v>
          </cell>
          <cell r="D1293">
            <v>44770</v>
          </cell>
          <cell r="E1293">
            <v>0.56597222222222221</v>
          </cell>
          <cell r="F1293">
            <v>1.9900000000000001E-2</v>
          </cell>
          <cell r="G1293"/>
          <cell r="H1293">
            <v>4.7399999999999998E-2</v>
          </cell>
          <cell r="I1293">
            <v>4.0399999999999998E-2</v>
          </cell>
          <cell r="J1293">
            <v>1.54E-2</v>
          </cell>
        </row>
        <row r="1294">
          <cell r="B1294" t="str">
            <v>CAL-01</v>
          </cell>
          <cell r="C1294" t="str">
            <v>ESP</v>
          </cell>
          <cell r="D1294">
            <v>44771</v>
          </cell>
          <cell r="E1294">
            <v>0.32500000000000001</v>
          </cell>
          <cell r="F1294">
            <v>4.8999999999999998E-3</v>
          </cell>
          <cell r="G1294"/>
          <cell r="H1294">
            <v>3.5099999999999999E-2</v>
          </cell>
          <cell r="I1294">
            <v>1.66E-2</v>
          </cell>
          <cell r="J1294">
            <v>9.5999999999999992E-3</v>
          </cell>
        </row>
        <row r="1295">
          <cell r="B1295" t="str">
            <v>CR-22</v>
          </cell>
          <cell r="C1295" t="str">
            <v>ESP</v>
          </cell>
          <cell r="D1295">
            <v>44771</v>
          </cell>
          <cell r="E1295">
            <v>0.33055555555555555</v>
          </cell>
          <cell r="F1295">
            <v>1.0999999999999999E-2</v>
          </cell>
          <cell r="G1295"/>
          <cell r="H1295">
            <v>1.9300000000000001E-2</v>
          </cell>
          <cell r="I1295">
            <v>6.4999999999999997E-3</v>
          </cell>
          <cell r="J1295">
            <v>2.8199999999999999E-2</v>
          </cell>
        </row>
        <row r="1296">
          <cell r="B1296" t="str">
            <v>CR-17</v>
          </cell>
          <cell r="C1296" t="str">
            <v>ESP</v>
          </cell>
          <cell r="D1296">
            <v>44771</v>
          </cell>
          <cell r="E1296">
            <v>0.56597222222222221</v>
          </cell>
          <cell r="F1296">
            <v>3.7000000000000002E-3</v>
          </cell>
          <cell r="G1296"/>
          <cell r="H1296">
            <v>6.7999999999999996E-3</v>
          </cell>
          <cell r="I1296">
            <v>9.4000000000000004E-3</v>
          </cell>
          <cell r="J1296">
            <v>8.3999999999999995E-3</v>
          </cell>
        </row>
        <row r="1297">
          <cell r="B1297" t="str">
            <v>CR-06</v>
          </cell>
          <cell r="C1297" t="str">
            <v>ESP</v>
          </cell>
          <cell r="D1297">
            <v>44771</v>
          </cell>
          <cell r="E1297">
            <v>0.56458333333333333</v>
          </cell>
          <cell r="F1297">
            <v>5.4000000000000003E-3</v>
          </cell>
          <cell r="G1297"/>
          <cell r="H1297">
            <v>5.4999999999999997E-3</v>
          </cell>
          <cell r="I1297">
            <v>1.6299999999999999E-2</v>
          </cell>
          <cell r="J1297">
            <v>1.41E-2</v>
          </cell>
        </row>
        <row r="1298">
          <cell r="B1298" t="str">
            <v>CR-11</v>
          </cell>
          <cell r="C1298" t="str">
            <v>ESP</v>
          </cell>
          <cell r="D1298">
            <v>44772</v>
          </cell>
          <cell r="E1298">
            <v>0.36319444444444443</v>
          </cell>
          <cell r="F1298">
            <v>4.1000000000000003E-3</v>
          </cell>
          <cell r="G1298"/>
          <cell r="H1298">
            <v>5.3E-3</v>
          </cell>
          <cell r="I1298">
            <v>8.0999999999999996E-3</v>
          </cell>
          <cell r="J1298">
            <v>1.01E-2</v>
          </cell>
        </row>
        <row r="1299">
          <cell r="B1299" t="str">
            <v>CR-18</v>
          </cell>
          <cell r="C1299" t="str">
            <v>ESP</v>
          </cell>
          <cell r="D1299">
            <v>44772</v>
          </cell>
          <cell r="E1299">
            <v>0.3611111111111111</v>
          </cell>
          <cell r="F1299">
            <v>3.7000000000000002E-3</v>
          </cell>
          <cell r="G1299"/>
          <cell r="H1299">
            <v>2.1000000000000001E-2</v>
          </cell>
          <cell r="I1299">
            <v>1.9900000000000001E-2</v>
          </cell>
          <cell r="J1299">
            <v>1.01E-2</v>
          </cell>
        </row>
        <row r="1300">
          <cell r="B1300" t="str">
            <v>CR-14</v>
          </cell>
          <cell r="C1300" t="str">
            <v>ESP</v>
          </cell>
          <cell r="D1300">
            <v>44774</v>
          </cell>
          <cell r="E1300">
            <v>0.34027777777777773</v>
          </cell>
          <cell r="F1300">
            <v>1.18E-2</v>
          </cell>
          <cell r="G1300"/>
          <cell r="H1300">
            <v>6.3E-2</v>
          </cell>
          <cell r="I1300">
            <v>0.55330000000000001</v>
          </cell>
          <cell r="J1300">
            <v>0.3367</v>
          </cell>
        </row>
        <row r="1301">
          <cell r="B1301" t="str">
            <v>CC-03</v>
          </cell>
          <cell r="C1301" t="str">
            <v>ESP</v>
          </cell>
          <cell r="D1301">
            <v>44774</v>
          </cell>
          <cell r="E1301">
            <v>0.38541666666666669</v>
          </cell>
          <cell r="F1301">
            <v>2.3E-3</v>
          </cell>
          <cell r="G1301"/>
          <cell r="H1301">
            <v>3.8E-3</v>
          </cell>
          <cell r="I1301">
            <v>6.7999999999999996E-3</v>
          </cell>
          <cell r="J1301">
            <v>4.5999999999999999E-3</v>
          </cell>
        </row>
        <row r="1302">
          <cell r="B1302" t="str">
            <v>CC-18</v>
          </cell>
          <cell r="C1302" t="str">
            <v>ESP</v>
          </cell>
          <cell r="D1302">
            <v>44774</v>
          </cell>
          <cell r="E1302">
            <v>0.56111111111111112</v>
          </cell>
          <cell r="F1302">
            <v>3.5999999999999999E-3</v>
          </cell>
          <cell r="G1302"/>
          <cell r="H1302">
            <v>2.92E-2</v>
          </cell>
          <cell r="I1302">
            <v>1.3899999999999999E-2</v>
          </cell>
          <cell r="J1302">
            <v>3.7000000000000002E-3</v>
          </cell>
        </row>
        <row r="1303">
          <cell r="B1303" t="str">
            <v>CC-01</v>
          </cell>
          <cell r="C1303" t="str">
            <v>ESP</v>
          </cell>
          <cell r="D1303">
            <v>44774</v>
          </cell>
          <cell r="E1303">
            <v>0.57013888888888886</v>
          </cell>
          <cell r="F1303">
            <v>7.4999999999999997E-3</v>
          </cell>
          <cell r="G1303"/>
          <cell r="H1303">
            <v>6.3E-3</v>
          </cell>
          <cell r="I1303">
            <v>2.0500000000000001E-2</v>
          </cell>
          <cell r="J1303">
            <v>4.6899999999999997E-2</v>
          </cell>
        </row>
        <row r="1304">
          <cell r="B1304" t="str">
            <v>CR-17</v>
          </cell>
          <cell r="C1304" t="str">
            <v>ESP</v>
          </cell>
          <cell r="D1304">
            <v>44775</v>
          </cell>
          <cell r="E1304">
            <v>0.43055555555555558</v>
          </cell>
          <cell r="F1304">
            <v>1.4500000000000001E-2</v>
          </cell>
          <cell r="G1304"/>
          <cell r="H1304">
            <v>8.8000000000000005E-3</v>
          </cell>
          <cell r="I1304">
            <v>2.3E-2</v>
          </cell>
          <cell r="J1304">
            <v>2.47E-2</v>
          </cell>
        </row>
        <row r="1305">
          <cell r="B1305" t="str">
            <v>CC-14</v>
          </cell>
          <cell r="C1305" t="str">
            <v>ESP</v>
          </cell>
          <cell r="D1305">
            <v>44775</v>
          </cell>
          <cell r="E1305">
            <v>0.42708333333333331</v>
          </cell>
          <cell r="F1305">
            <v>2.2200000000000001E-2</v>
          </cell>
          <cell r="G1305"/>
          <cell r="H1305">
            <v>8.6E-3</v>
          </cell>
          <cell r="I1305">
            <v>1.47E-2</v>
          </cell>
          <cell r="J1305">
            <v>1.6199999999999999E-2</v>
          </cell>
        </row>
        <row r="1306">
          <cell r="B1306" t="str">
            <v>CC -027</v>
          </cell>
          <cell r="C1306" t="str">
            <v>ESP</v>
          </cell>
          <cell r="D1306">
            <v>44775</v>
          </cell>
          <cell r="E1306">
            <v>0.625</v>
          </cell>
          <cell r="F1306">
            <v>8.0000000000000004E-4</v>
          </cell>
          <cell r="G1306"/>
          <cell r="H1306">
            <v>2.5000000000000001E-3</v>
          </cell>
          <cell r="I1306">
            <v>5.7999999999999996E-3</v>
          </cell>
          <cell r="J1306">
            <v>4.4999999999999997E-3</v>
          </cell>
        </row>
        <row r="1307">
          <cell r="B1307" t="str">
            <v>CC  -024</v>
          </cell>
          <cell r="C1307" t="str">
            <v>ESP</v>
          </cell>
          <cell r="D1307">
            <v>44775</v>
          </cell>
          <cell r="E1307">
            <v>0.61805555555555558</v>
          </cell>
          <cell r="F1307">
            <v>2.2000000000000001E-3</v>
          </cell>
          <cell r="G1307"/>
          <cell r="H1307">
            <v>1.37E-2</v>
          </cell>
          <cell r="I1307">
            <v>1.32E-2</v>
          </cell>
          <cell r="J1307">
            <v>8.8000000000000005E-3</v>
          </cell>
        </row>
        <row r="1308">
          <cell r="B1308" t="str">
            <v>CC-028K</v>
          </cell>
          <cell r="C1308" t="str">
            <v>ESP</v>
          </cell>
          <cell r="D1308">
            <v>44777</v>
          </cell>
          <cell r="E1308">
            <v>0.375</v>
          </cell>
          <cell r="F1308">
            <v>1.2500000000000001E-2</v>
          </cell>
          <cell r="G1308"/>
          <cell r="H1308">
            <v>1.84E-2</v>
          </cell>
          <cell r="I1308">
            <v>1.03E-2</v>
          </cell>
          <cell r="J1308">
            <v>1.03E-2</v>
          </cell>
        </row>
        <row r="1309">
          <cell r="B1309" t="str">
            <v xml:space="preserve"> CC-028M</v>
          </cell>
          <cell r="C1309" t="str">
            <v>ESP</v>
          </cell>
          <cell r="D1309">
            <v>44777</v>
          </cell>
          <cell r="E1309">
            <v>0.375</v>
          </cell>
          <cell r="F1309">
            <v>1.2699999999999999E-2</v>
          </cell>
          <cell r="G1309"/>
          <cell r="H1309">
            <v>2.3699999999999999E-2</v>
          </cell>
          <cell r="I1309">
            <v>1.12E-2</v>
          </cell>
          <cell r="J1309">
            <v>2.4199999999999999E-2</v>
          </cell>
        </row>
        <row r="1310">
          <cell r="B1310" t="str">
            <v>LY-251</v>
          </cell>
          <cell r="C1310" t="str">
            <v>ESP</v>
          </cell>
          <cell r="D1310">
            <v>44778</v>
          </cell>
          <cell r="E1310">
            <v>0.3520833333333333</v>
          </cell>
          <cell r="F1310">
            <v>1.1932</v>
          </cell>
          <cell r="G1310"/>
          <cell r="H1310">
            <v>4.1260000000000003</v>
          </cell>
          <cell r="I1310">
            <v>2.774</v>
          </cell>
          <cell r="J1310">
            <v>1.4544999999999999</v>
          </cell>
        </row>
        <row r="1311">
          <cell r="B1311" t="str">
            <v>LY-305</v>
          </cell>
          <cell r="C1311" t="str">
            <v>ESP</v>
          </cell>
          <cell r="D1311">
            <v>44778</v>
          </cell>
          <cell r="E1311">
            <v>0.36874999999999997</v>
          </cell>
          <cell r="F1311">
            <v>4.2599999999999999E-2</v>
          </cell>
          <cell r="G1311"/>
          <cell r="H1311">
            <v>0.36459999999999998</v>
          </cell>
          <cell r="I1311">
            <v>1.2265999999999999</v>
          </cell>
          <cell r="J1311">
            <v>0.33229999999999998</v>
          </cell>
        </row>
        <row r="1312">
          <cell r="B1312" t="str">
            <v>LY-159</v>
          </cell>
          <cell r="C1312" t="str">
            <v>ESP</v>
          </cell>
          <cell r="D1312">
            <v>44778</v>
          </cell>
          <cell r="E1312">
            <v>0.6</v>
          </cell>
          <cell r="F1312">
            <v>1.72E-2</v>
          </cell>
          <cell r="G1312"/>
          <cell r="H1312">
            <v>5.0900000000000001E-2</v>
          </cell>
          <cell r="I1312">
            <v>0.37580000000000002</v>
          </cell>
          <cell r="J1312">
            <v>0.2913</v>
          </cell>
        </row>
        <row r="1313">
          <cell r="B1313" t="str">
            <v>LY-302</v>
          </cell>
          <cell r="C1313" t="str">
            <v>ESP</v>
          </cell>
          <cell r="D1313">
            <v>44778</v>
          </cell>
          <cell r="E1313">
            <v>0.57986111111111105</v>
          </cell>
          <cell r="F1313">
            <v>9.7999999999999997E-3</v>
          </cell>
          <cell r="G1313"/>
          <cell r="H1313">
            <v>5.8000000000000003E-2</v>
          </cell>
          <cell r="I1313">
            <v>0.19919999999999999</v>
          </cell>
          <cell r="J1313">
            <v>8.1199999999999994E-2</v>
          </cell>
        </row>
        <row r="1314">
          <cell r="B1314" t="str">
            <v>LY-184</v>
          </cell>
          <cell r="C1314" t="str">
            <v>ESP</v>
          </cell>
          <cell r="D1314">
            <v>44781</v>
          </cell>
          <cell r="E1314">
            <v>0.36458333333333331</v>
          </cell>
          <cell r="F1314">
            <v>4.2799999999999998E-2</v>
          </cell>
          <cell r="G1314"/>
          <cell r="H1314">
            <v>4.48E-2</v>
          </cell>
          <cell r="I1314">
            <v>5.0999999999999997E-2</v>
          </cell>
          <cell r="J1314">
            <v>6.3500000000000001E-2</v>
          </cell>
        </row>
        <row r="1315">
          <cell r="B1315" t="str">
            <v>LY-95</v>
          </cell>
          <cell r="C1315" t="str">
            <v>ESP</v>
          </cell>
          <cell r="D1315">
            <v>44781</v>
          </cell>
          <cell r="E1315">
            <v>0.37152777777777773</v>
          </cell>
          <cell r="F1315">
            <v>8.2900000000000001E-2</v>
          </cell>
          <cell r="G1315"/>
          <cell r="H1315">
            <v>0.12590000000000001</v>
          </cell>
          <cell r="I1315">
            <v>0.155</v>
          </cell>
          <cell r="J1315">
            <v>7.0699999999999999E-2</v>
          </cell>
        </row>
        <row r="1316">
          <cell r="B1316" t="str">
            <v>MN-35</v>
          </cell>
          <cell r="C1316" t="str">
            <v>ESP</v>
          </cell>
          <cell r="D1316">
            <v>44781</v>
          </cell>
          <cell r="E1316">
            <v>0.57638888888888895</v>
          </cell>
          <cell r="F1316">
            <v>7.7000000000000002E-3</v>
          </cell>
          <cell r="G1316"/>
          <cell r="H1316">
            <v>7.6E-3</v>
          </cell>
          <cell r="I1316">
            <v>1.54E-2</v>
          </cell>
          <cell r="J1316">
            <v>1.2699999999999999E-2</v>
          </cell>
        </row>
        <row r="1317">
          <cell r="B1317" t="str">
            <v>CL-51</v>
          </cell>
          <cell r="C1317" t="str">
            <v>ESP</v>
          </cell>
          <cell r="D1317">
            <v>44781</v>
          </cell>
          <cell r="E1317">
            <v>0.58680555555555558</v>
          </cell>
          <cell r="F1317">
            <v>1.6E-2</v>
          </cell>
          <cell r="G1317"/>
          <cell r="H1317">
            <v>3.3300000000000003E-2</v>
          </cell>
          <cell r="I1317">
            <v>4.36E-2</v>
          </cell>
          <cell r="J1317">
            <v>2.9000000000000001E-2</v>
          </cell>
        </row>
        <row r="1318">
          <cell r="B1318" t="str">
            <v>LY-241 H</v>
          </cell>
          <cell r="C1318" t="str">
            <v>ESP</v>
          </cell>
          <cell r="D1318">
            <v>44782</v>
          </cell>
          <cell r="E1318">
            <v>0.35069444444444442</v>
          </cell>
          <cell r="F1318">
            <v>6.8400000000000002E-2</v>
          </cell>
          <cell r="G1318"/>
          <cell r="H1318">
            <v>8.9599999999999999E-2</v>
          </cell>
          <cell r="I1318">
            <v>0.1154</v>
          </cell>
          <cell r="J1318">
            <v>5.1499999999999997E-2</v>
          </cell>
        </row>
        <row r="1319">
          <cell r="B1319" t="str">
            <v>CL-49</v>
          </cell>
          <cell r="C1319" t="str">
            <v>ESP</v>
          </cell>
          <cell r="D1319">
            <v>44782</v>
          </cell>
          <cell r="E1319">
            <v>0.37152777777777773</v>
          </cell>
          <cell r="F1319">
            <v>2.3800000000000002E-2</v>
          </cell>
          <cell r="G1319"/>
          <cell r="H1319">
            <v>4.99E-2</v>
          </cell>
          <cell r="I1319">
            <v>9.3399999999999997E-2</v>
          </cell>
          <cell r="J1319">
            <v>0.12809999999999999</v>
          </cell>
        </row>
        <row r="1320">
          <cell r="B1320" t="str">
            <v>CR-14</v>
          </cell>
          <cell r="C1320" t="str">
            <v>ESP</v>
          </cell>
          <cell r="D1320">
            <v>44783</v>
          </cell>
          <cell r="E1320">
            <v>0.37152777777777773</v>
          </cell>
          <cell r="F1320">
            <v>3.32E-2</v>
          </cell>
          <cell r="G1320"/>
          <cell r="H1320">
            <v>5.4600000000000003E-2</v>
          </cell>
          <cell r="I1320">
            <v>0.1164</v>
          </cell>
          <cell r="J1320">
            <v>0.1066</v>
          </cell>
        </row>
        <row r="1321">
          <cell r="B1321" t="str">
            <v>CR-14</v>
          </cell>
          <cell r="C1321" t="str">
            <v>ESP</v>
          </cell>
          <cell r="D1321">
            <v>44785</v>
          </cell>
          <cell r="E1321">
            <v>0.37847222222222227</v>
          </cell>
          <cell r="F1321">
            <v>5.1000000000000004E-3</v>
          </cell>
          <cell r="G1321"/>
          <cell r="H1321">
            <v>1.17E-2</v>
          </cell>
          <cell r="I1321">
            <v>8.0699999999999994E-2</v>
          </cell>
          <cell r="J1321">
            <v>4.99E-2</v>
          </cell>
        </row>
        <row r="1322">
          <cell r="B1322" t="str">
            <v>MOY-04</v>
          </cell>
          <cell r="C1322" t="str">
            <v>ESP</v>
          </cell>
          <cell r="D1322">
            <v>44783</v>
          </cell>
          <cell r="E1322">
            <v>0.44791666666666669</v>
          </cell>
          <cell r="F1322">
            <v>2.1899999999999999E-2</v>
          </cell>
          <cell r="G1322"/>
          <cell r="H1322">
            <v>0.11609999999999999</v>
          </cell>
          <cell r="I1322">
            <v>9.8299999999999998E-2</v>
          </cell>
          <cell r="J1322">
            <v>4.6399999999999997E-2</v>
          </cell>
        </row>
        <row r="1323">
          <cell r="B1323" t="str">
            <v>MOY-04</v>
          </cell>
          <cell r="C1323" t="str">
            <v>ESP</v>
          </cell>
          <cell r="D1323">
            <v>44784</v>
          </cell>
          <cell r="E1323">
            <v>0.33333333333333331</v>
          </cell>
          <cell r="F1323">
            <v>9.4000000000000004E-3</v>
          </cell>
          <cell r="G1323"/>
          <cell r="H1323">
            <v>3.9199999999999999E-2</v>
          </cell>
          <cell r="I1323">
            <v>6.8900000000000003E-2</v>
          </cell>
          <cell r="J1323">
            <v>5.7799999999999997E-2</v>
          </cell>
        </row>
        <row r="1324">
          <cell r="B1324" t="str">
            <v>MOY-04</v>
          </cell>
          <cell r="C1324" t="str">
            <v>ESP</v>
          </cell>
          <cell r="D1324">
            <v>44785</v>
          </cell>
          <cell r="E1324">
            <v>0.3263888888888889</v>
          </cell>
          <cell r="F1324">
            <v>6.3E-3</v>
          </cell>
          <cell r="G1324"/>
          <cell r="H1324">
            <v>1.5699999999999999E-2</v>
          </cell>
          <cell r="I1324">
            <v>2.9000000000000001E-2</v>
          </cell>
          <cell r="J1324">
            <v>2.86E-2</v>
          </cell>
        </row>
        <row r="1325">
          <cell r="B1325" t="str">
            <v>LY-251</v>
          </cell>
          <cell r="C1325" t="str">
            <v>ESP</v>
          </cell>
          <cell r="D1325">
            <v>44789</v>
          </cell>
          <cell r="E1325">
            <v>0.33194444444444443</v>
          </cell>
          <cell r="F1325">
            <v>0.31680000000000003</v>
          </cell>
          <cell r="G1325"/>
          <cell r="H1325">
            <v>0.69010000000000005</v>
          </cell>
          <cell r="I1325">
            <v>0.4713</v>
          </cell>
          <cell r="J1325">
            <v>0.14940000000000001</v>
          </cell>
        </row>
        <row r="1326">
          <cell r="B1326" t="str">
            <v>LY-276</v>
          </cell>
          <cell r="C1326" t="str">
            <v>BM</v>
          </cell>
          <cell r="D1326">
            <v>44789</v>
          </cell>
          <cell r="E1326">
            <v>0.3527777777777778</v>
          </cell>
          <cell r="F1326">
            <v>5.9799999999999999E-2</v>
          </cell>
          <cell r="G1326"/>
          <cell r="H1326">
            <v>5.6399999999999999E-2</v>
          </cell>
          <cell r="I1326">
            <v>0.1953</v>
          </cell>
          <cell r="J1326">
            <v>0.12540000000000001</v>
          </cell>
        </row>
        <row r="1327">
          <cell r="B1327" t="str">
            <v>LY-276</v>
          </cell>
          <cell r="C1327" t="str">
            <v>BM</v>
          </cell>
          <cell r="D1327">
            <v>44790</v>
          </cell>
          <cell r="E1327">
            <v>0.35416666666666669</v>
          </cell>
          <cell r="F1327">
            <v>1.7500000000000002E-2</v>
          </cell>
          <cell r="G1327"/>
          <cell r="H1327">
            <v>7.9899999999999999E-2</v>
          </cell>
          <cell r="I1327">
            <v>0.23960000000000001</v>
          </cell>
          <cell r="J1327">
            <v>0.12620000000000001</v>
          </cell>
        </row>
        <row r="1328">
          <cell r="B1328" t="str">
            <v>LY-251</v>
          </cell>
          <cell r="C1328" t="str">
            <v>ESP</v>
          </cell>
          <cell r="D1328">
            <v>44790</v>
          </cell>
          <cell r="E1328">
            <v>0.33124999999999999</v>
          </cell>
          <cell r="F1328">
            <v>0.1447</v>
          </cell>
          <cell r="G1328"/>
          <cell r="H1328">
            <v>0.40529999999999999</v>
          </cell>
          <cell r="I1328">
            <v>0.30080000000000001</v>
          </cell>
          <cell r="J1328">
            <v>0.1053</v>
          </cell>
        </row>
        <row r="1329">
          <cell r="B1329" t="str">
            <v>LY-301</v>
          </cell>
          <cell r="C1329" t="str">
            <v>ESP</v>
          </cell>
          <cell r="D1329">
            <v>44790</v>
          </cell>
          <cell r="E1329">
            <v>0.57638888888888895</v>
          </cell>
          <cell r="F1329">
            <v>2.46E-2</v>
          </cell>
          <cell r="G1329"/>
          <cell r="H1329">
            <v>6.7199999999999996E-2</v>
          </cell>
          <cell r="I1329">
            <v>0.16489999999999999</v>
          </cell>
          <cell r="J1329">
            <v>9.0800000000000006E-2</v>
          </cell>
        </row>
        <row r="1330">
          <cell r="B1330" t="str">
            <v>LY-261A</v>
          </cell>
          <cell r="C1330" t="str">
            <v>BM</v>
          </cell>
          <cell r="D1330">
            <v>44791</v>
          </cell>
          <cell r="E1330">
            <v>0.34513888888888888</v>
          </cell>
          <cell r="F1330">
            <v>2.3E-2</v>
          </cell>
          <cell r="G1330"/>
          <cell r="H1330">
            <v>3.4700000000000002E-2</v>
          </cell>
          <cell r="I1330">
            <v>1.67E-2</v>
          </cell>
          <cell r="J1330">
            <v>1.5800000000000002E-2</v>
          </cell>
        </row>
        <row r="1331">
          <cell r="B1331" t="str">
            <v>LY-301</v>
          </cell>
          <cell r="C1331" t="str">
            <v>ESP</v>
          </cell>
          <cell r="D1331">
            <v>44791</v>
          </cell>
          <cell r="E1331">
            <v>0.34375</v>
          </cell>
          <cell r="F1331">
            <v>1.23E-2</v>
          </cell>
          <cell r="G1331"/>
          <cell r="H1331">
            <v>3.9899999999999998E-2</v>
          </cell>
          <cell r="I1331">
            <v>0.1181</v>
          </cell>
          <cell r="J1331">
            <v>5.0099999999999999E-2</v>
          </cell>
        </row>
        <row r="1332">
          <cell r="B1332" t="str">
            <v>LY-267</v>
          </cell>
          <cell r="C1332" t="str">
            <v>ESP</v>
          </cell>
          <cell r="D1332">
            <v>44792</v>
          </cell>
          <cell r="E1332">
            <v>0.34375</v>
          </cell>
          <cell r="F1332">
            <v>8.6E-3</v>
          </cell>
          <cell r="G1332"/>
          <cell r="H1332">
            <v>3.6200000000000003E-2</v>
          </cell>
          <cell r="I1332">
            <v>3.4700000000000002E-2</v>
          </cell>
          <cell r="J1332">
            <v>2.5600000000000001E-2</v>
          </cell>
        </row>
        <row r="1333">
          <cell r="B1333" t="str">
            <v>LY-301</v>
          </cell>
          <cell r="C1333" t="str">
            <v>ESP</v>
          </cell>
          <cell r="D1333">
            <v>44792</v>
          </cell>
          <cell r="E1333">
            <v>0.34166666666666662</v>
          </cell>
          <cell r="F1333">
            <v>4.5999999999999999E-3</v>
          </cell>
          <cell r="G1333"/>
          <cell r="H1333">
            <v>1.49E-2</v>
          </cell>
          <cell r="I1333">
            <v>7.3400000000000007E-2</v>
          </cell>
          <cell r="J1333">
            <v>3.7900000000000003E-2</v>
          </cell>
        </row>
        <row r="1334">
          <cell r="B1334" t="str">
            <v>LY-007</v>
          </cell>
          <cell r="C1334" t="str">
            <v>ESP</v>
          </cell>
          <cell r="D1334">
            <v>44792</v>
          </cell>
          <cell r="E1334">
            <v>0.57291666666666663</v>
          </cell>
          <cell r="F1334">
            <v>5.7000000000000002E-2</v>
          </cell>
          <cell r="G1334"/>
          <cell r="H1334">
            <v>6.6299999999999998E-2</v>
          </cell>
          <cell r="I1334">
            <v>3.5900000000000001E-2</v>
          </cell>
          <cell r="J1334">
            <v>2.7300000000000001E-2</v>
          </cell>
        </row>
        <row r="1335">
          <cell r="B1335" t="str">
            <v>LY-301</v>
          </cell>
          <cell r="C1335" t="str">
            <v>ESP</v>
          </cell>
          <cell r="D1335">
            <v>44795</v>
          </cell>
          <cell r="E1335">
            <v>0.34722222222222227</v>
          </cell>
          <cell r="F1335">
            <v>3.8100000000000002E-2</v>
          </cell>
          <cell r="G1335"/>
          <cell r="H1335">
            <v>0.13239999999999999</v>
          </cell>
          <cell r="I1335">
            <v>0.24510000000000001</v>
          </cell>
          <cell r="J1335">
            <v>5.5500000000000001E-2</v>
          </cell>
        </row>
        <row r="1336">
          <cell r="B1336" t="str">
            <v>MCA-01</v>
          </cell>
          <cell r="C1336" t="str">
            <v>ESP</v>
          </cell>
          <cell r="D1336">
            <v>44795</v>
          </cell>
          <cell r="E1336">
            <v>0.36458333333333331</v>
          </cell>
          <cell r="F1336">
            <v>1.0699999999999999E-2</v>
          </cell>
          <cell r="G1336"/>
          <cell r="H1336">
            <v>1.2500000000000001E-2</v>
          </cell>
          <cell r="I1336">
            <v>1.6400000000000001E-2</v>
          </cell>
          <cell r="J1336">
            <v>9.9000000000000008E-3</v>
          </cell>
        </row>
        <row r="1337">
          <cell r="B1337" t="str">
            <v>LY-251</v>
          </cell>
          <cell r="C1337" t="str">
            <v>ESP</v>
          </cell>
          <cell r="D1337">
            <v>44796</v>
          </cell>
          <cell r="E1337">
            <v>0.35069444444444442</v>
          </cell>
          <cell r="F1337">
            <v>1.6799999999999999E-2</v>
          </cell>
          <cell r="G1337"/>
          <cell r="H1337">
            <v>8.5699999999999998E-2</v>
          </cell>
          <cell r="I1337">
            <v>0.25819999999999999</v>
          </cell>
          <cell r="J1337">
            <v>0.13350000000000001</v>
          </cell>
        </row>
        <row r="1338">
          <cell r="B1338" t="str">
            <v>MCA-01</v>
          </cell>
          <cell r="C1338" t="str">
            <v>ESP</v>
          </cell>
          <cell r="D1338">
            <v>44796</v>
          </cell>
          <cell r="E1338">
            <v>0.3611111111111111</v>
          </cell>
          <cell r="F1338">
            <v>7.7000000000000002E-3</v>
          </cell>
          <cell r="G1338"/>
          <cell r="H1338">
            <v>2.0299999999999999E-2</v>
          </cell>
          <cell r="I1338">
            <v>4.2000000000000003E-2</v>
          </cell>
          <cell r="J1338">
            <v>1.6799999999999999E-2</v>
          </cell>
        </row>
        <row r="1339">
          <cell r="B1339" t="str">
            <v>LY-251</v>
          </cell>
          <cell r="C1339" t="str">
            <v>ESP</v>
          </cell>
          <cell r="D1339">
            <v>44797</v>
          </cell>
          <cell r="E1339">
            <v>0.32500000000000001</v>
          </cell>
          <cell r="F1339">
            <v>0.27560000000000001</v>
          </cell>
          <cell r="G1339"/>
          <cell r="H1339">
            <v>0.83030000000000004</v>
          </cell>
          <cell r="I1339">
            <v>0.72189999999999999</v>
          </cell>
          <cell r="J1339">
            <v>0.215</v>
          </cell>
        </row>
        <row r="1340">
          <cell r="B1340" t="str">
            <v>MCA-01</v>
          </cell>
          <cell r="C1340" t="str">
            <v>ESP</v>
          </cell>
          <cell r="D1340">
            <v>44797</v>
          </cell>
          <cell r="E1340">
            <v>0.35416666666666669</v>
          </cell>
          <cell r="F1340">
            <v>4.1999999999999997E-3</v>
          </cell>
          <cell r="G1340"/>
          <cell r="H1340">
            <v>2.3900000000000001E-2</v>
          </cell>
          <cell r="I1340">
            <v>2.0500000000000001E-2</v>
          </cell>
          <cell r="J1340">
            <v>1.35E-2</v>
          </cell>
        </row>
        <row r="1341">
          <cell r="B1341" t="str">
            <v>GLO-01</v>
          </cell>
          <cell r="C1341" t="str">
            <v>ESP</v>
          </cell>
          <cell r="D1341">
            <v>44798</v>
          </cell>
          <cell r="E1341">
            <v>0.35416666666666669</v>
          </cell>
          <cell r="F1341">
            <v>5.5999999999999999E-3</v>
          </cell>
          <cell r="G1341"/>
          <cell r="H1341">
            <v>8.5000000000000006E-3</v>
          </cell>
          <cell r="I1341">
            <v>1.3100000000000001E-2</v>
          </cell>
          <cell r="J1341">
            <v>6.7000000000000002E-3</v>
          </cell>
        </row>
        <row r="1342">
          <cell r="B1342" t="str">
            <v>MCA-01</v>
          </cell>
          <cell r="C1342" t="str">
            <v>ESP</v>
          </cell>
          <cell r="D1342">
            <v>44798</v>
          </cell>
          <cell r="E1342">
            <v>0.35069444444444442</v>
          </cell>
          <cell r="F1342">
            <v>4.1999999999999997E-3</v>
          </cell>
          <cell r="G1342"/>
          <cell r="H1342">
            <v>7.3000000000000001E-3</v>
          </cell>
          <cell r="I1342">
            <v>1.7000000000000001E-2</v>
          </cell>
          <cell r="J1342">
            <v>1.66E-2</v>
          </cell>
        </row>
        <row r="1343">
          <cell r="B1343" t="str">
            <v>CL-35</v>
          </cell>
          <cell r="C1343" t="str">
            <v>ESP</v>
          </cell>
          <cell r="D1343">
            <v>44798</v>
          </cell>
          <cell r="E1343">
            <v>0.57291666666666663</v>
          </cell>
          <cell r="F1343">
            <v>0.1192</v>
          </cell>
          <cell r="G1343"/>
          <cell r="H1343">
            <v>0.5806</v>
          </cell>
          <cell r="I1343">
            <v>0.36220000000000002</v>
          </cell>
          <cell r="J1343">
            <v>6.0900000000000003E-2</v>
          </cell>
        </row>
        <row r="1344">
          <cell r="B1344" t="str">
            <v>CL-42</v>
          </cell>
          <cell r="C1344" t="str">
            <v>ESP</v>
          </cell>
          <cell r="D1344">
            <v>44799</v>
          </cell>
          <cell r="E1344">
            <v>0.35069444444444442</v>
          </cell>
          <cell r="F1344">
            <v>4.8999999999999998E-3</v>
          </cell>
          <cell r="G1344"/>
          <cell r="H1344">
            <v>5.4000000000000003E-3</v>
          </cell>
          <cell r="I1344">
            <v>4.8999999999999998E-3</v>
          </cell>
          <cell r="J1344">
            <v>3.3E-3</v>
          </cell>
        </row>
        <row r="1345">
          <cell r="B1345" t="str">
            <v>MCA-01</v>
          </cell>
          <cell r="C1345" t="str">
            <v>ESP</v>
          </cell>
          <cell r="D1345">
            <v>44799</v>
          </cell>
          <cell r="E1345">
            <v>0.3298611111111111</v>
          </cell>
          <cell r="F1345">
            <v>3.7000000000000002E-3</v>
          </cell>
          <cell r="G1345"/>
          <cell r="H1345">
            <v>5.4999999999999997E-3</v>
          </cell>
          <cell r="I1345">
            <v>2.2200000000000001E-2</v>
          </cell>
          <cell r="J1345">
            <v>2.0500000000000001E-2</v>
          </cell>
        </row>
        <row r="1346">
          <cell r="B1346" t="str">
            <v>CL-41</v>
          </cell>
          <cell r="C1346" t="str">
            <v>ESP</v>
          </cell>
          <cell r="D1346">
            <v>44799</v>
          </cell>
          <cell r="E1346">
            <v>0.57291666666666663</v>
          </cell>
          <cell r="F1346">
            <v>5.0000000000000001E-3</v>
          </cell>
          <cell r="G1346"/>
          <cell r="H1346">
            <v>1.38E-2</v>
          </cell>
          <cell r="I1346">
            <v>1.35E-2</v>
          </cell>
          <cell r="J1346">
            <v>6.8999999999999999E-3</v>
          </cell>
        </row>
        <row r="1347">
          <cell r="B1347" t="str">
            <v>MN-77ST</v>
          </cell>
          <cell r="C1347" t="str">
            <v>ESP</v>
          </cell>
          <cell r="D1347">
            <v>44802</v>
          </cell>
          <cell r="E1347">
            <v>0.33333333333333331</v>
          </cell>
          <cell r="F1347">
            <v>8.8700000000000001E-2</v>
          </cell>
          <cell r="G1347"/>
          <cell r="H1347">
            <v>0.1421</v>
          </cell>
          <cell r="I1347">
            <v>7.0900000000000005E-2</v>
          </cell>
          <cell r="J1347">
            <v>2.81E-2</v>
          </cell>
        </row>
        <row r="1348">
          <cell r="B1348" t="str">
            <v>CY-60</v>
          </cell>
          <cell r="C1348" t="str">
            <v>ESP</v>
          </cell>
          <cell r="D1348">
            <v>44802</v>
          </cell>
          <cell r="E1348">
            <v>0.38194444444444442</v>
          </cell>
          <cell r="F1348">
            <v>0.32390000000000002</v>
          </cell>
          <cell r="G1348"/>
          <cell r="H1348">
            <v>2.5430999999999999</v>
          </cell>
          <cell r="I1348">
            <v>3.3654000000000002</v>
          </cell>
          <cell r="J1348">
            <v>0.96189999999999998</v>
          </cell>
        </row>
        <row r="1349">
          <cell r="B1349" t="str">
            <v>MN-35</v>
          </cell>
          <cell r="C1349" t="str">
            <v>ESP</v>
          </cell>
          <cell r="D1349">
            <v>44802</v>
          </cell>
          <cell r="E1349">
            <v>0.57638888888888895</v>
          </cell>
          <cell r="F1349">
            <v>3.3599999999999998E-2</v>
          </cell>
          <cell r="G1349"/>
          <cell r="H1349">
            <v>4.5400000000000003E-2</v>
          </cell>
          <cell r="I1349">
            <v>7.22E-2</v>
          </cell>
          <cell r="J1349">
            <v>5.0599999999999999E-2</v>
          </cell>
        </row>
        <row r="1350">
          <cell r="B1350" t="str">
            <v>CY-84</v>
          </cell>
          <cell r="C1350" t="str">
            <v>ESP</v>
          </cell>
          <cell r="D1350">
            <v>44803</v>
          </cell>
          <cell r="E1350">
            <v>0.34027777777777773</v>
          </cell>
          <cell r="F1350">
            <v>1.2800000000000001E-2</v>
          </cell>
          <cell r="G1350"/>
          <cell r="H1350">
            <v>1.3100000000000001E-2</v>
          </cell>
          <cell r="I1350">
            <v>1.7399999999999999E-2</v>
          </cell>
          <cell r="J1350">
            <v>1.38E-2</v>
          </cell>
        </row>
        <row r="1351">
          <cell r="B1351" t="str">
            <v>CY-17</v>
          </cell>
          <cell r="C1351" t="str">
            <v>ESP</v>
          </cell>
          <cell r="D1351">
            <v>44803</v>
          </cell>
          <cell r="E1351">
            <v>0.35069444444444442</v>
          </cell>
          <cell r="F1351">
            <v>2.8E-3</v>
          </cell>
          <cell r="G1351"/>
          <cell r="H1351">
            <v>1.0999999999999999E-2</v>
          </cell>
          <cell r="I1351">
            <v>2.6100000000000002E-2</v>
          </cell>
          <cell r="J1351">
            <v>1.37E-2</v>
          </cell>
        </row>
        <row r="1352">
          <cell r="B1352" t="str">
            <v>CY-40</v>
          </cell>
          <cell r="C1352" t="str">
            <v>ESP</v>
          </cell>
          <cell r="D1352">
            <v>44803</v>
          </cell>
          <cell r="E1352">
            <v>0.57291666666666663</v>
          </cell>
          <cell r="F1352">
            <v>5.3600000000000002E-2</v>
          </cell>
          <cell r="G1352"/>
          <cell r="H1352">
            <v>0.1585</v>
          </cell>
          <cell r="I1352">
            <v>0.2354</v>
          </cell>
          <cell r="J1352">
            <v>5.3699999999999998E-2</v>
          </cell>
        </row>
        <row r="1353">
          <cell r="B1353" t="str">
            <v>CY-90</v>
          </cell>
          <cell r="C1353" t="str">
            <v>ESP</v>
          </cell>
          <cell r="D1353">
            <v>44803</v>
          </cell>
          <cell r="E1353">
            <v>0.57986111111111105</v>
          </cell>
          <cell r="F1353">
            <v>1.2500000000000001E-2</v>
          </cell>
          <cell r="G1353"/>
          <cell r="H1353">
            <v>1.32E-2</v>
          </cell>
          <cell r="I1353">
            <v>4.2999999999999997E-2</v>
          </cell>
          <cell r="J1353">
            <v>0.88119999999999998</v>
          </cell>
        </row>
        <row r="1354">
          <cell r="B1354" t="str">
            <v>CY-52</v>
          </cell>
          <cell r="C1354" t="str">
            <v>ESP</v>
          </cell>
          <cell r="D1354">
            <v>44804</v>
          </cell>
          <cell r="E1354">
            <v>0.33194444444444443</v>
          </cell>
          <cell r="F1354">
            <v>1.15E-2</v>
          </cell>
          <cell r="G1354"/>
          <cell r="H1354">
            <v>1.55E-2</v>
          </cell>
          <cell r="I1354">
            <v>2.1600000000000001E-2</v>
          </cell>
          <cell r="J1354">
            <v>2.5700000000000001E-2</v>
          </cell>
        </row>
        <row r="1355">
          <cell r="B1355" t="str">
            <v>CY-12</v>
          </cell>
          <cell r="C1355" t="str">
            <v>ESP</v>
          </cell>
          <cell r="D1355">
            <v>44804</v>
          </cell>
          <cell r="E1355">
            <v>0.33680555555555558</v>
          </cell>
          <cell r="F1355">
            <v>1.04E-2</v>
          </cell>
          <cell r="G1355"/>
          <cell r="H1355">
            <v>1.3599999999999999E-2</v>
          </cell>
          <cell r="I1355">
            <v>3.0200000000000001E-2</v>
          </cell>
          <cell r="J1355">
            <v>2.9000000000000001E-2</v>
          </cell>
        </row>
        <row r="1356">
          <cell r="B1356" t="str">
            <v>CY-70</v>
          </cell>
          <cell r="C1356" t="str">
            <v>ESP</v>
          </cell>
          <cell r="D1356">
            <v>44804</v>
          </cell>
          <cell r="E1356">
            <v>0.57638888888888895</v>
          </cell>
          <cell r="F1356">
            <v>5.0000000000000001E-3</v>
          </cell>
          <cell r="G1356"/>
          <cell r="H1356">
            <v>1.95E-2</v>
          </cell>
          <cell r="I1356">
            <v>6.2100000000000002E-2</v>
          </cell>
          <cell r="J1356">
            <v>2.69E-2</v>
          </cell>
        </row>
        <row r="1357">
          <cell r="B1357" t="str">
            <v>LY-241 H</v>
          </cell>
          <cell r="C1357" t="str">
            <v>ESP</v>
          </cell>
          <cell r="D1357">
            <v>44804</v>
          </cell>
          <cell r="E1357">
            <v>0.57291666666666663</v>
          </cell>
          <cell r="F1357">
            <v>3.9600000000000003E-2</v>
          </cell>
          <cell r="G1357"/>
          <cell r="H1357">
            <v>9.0999999999999998E-2</v>
          </cell>
          <cell r="I1357">
            <v>8.77E-2</v>
          </cell>
          <cell r="J1357">
            <v>3.32E-2</v>
          </cell>
        </row>
        <row r="1358">
          <cell r="B1358" t="str">
            <v>CY-77</v>
          </cell>
          <cell r="C1358" t="str">
            <v>ESP</v>
          </cell>
          <cell r="D1358">
            <v>44805</v>
          </cell>
          <cell r="E1358">
            <v>0.34027777777777773</v>
          </cell>
          <cell r="F1358">
            <v>3.5000000000000001E-3</v>
          </cell>
          <cell r="G1358"/>
          <cell r="H1358">
            <v>6.6E-3</v>
          </cell>
          <cell r="I1358">
            <v>7.8299999999999995E-2</v>
          </cell>
          <cell r="J1358">
            <v>5.16E-2</v>
          </cell>
        </row>
        <row r="1359">
          <cell r="B1359" t="str">
            <v>CY-86</v>
          </cell>
          <cell r="C1359" t="str">
            <v>ESP</v>
          </cell>
          <cell r="D1359">
            <v>44805</v>
          </cell>
          <cell r="E1359">
            <v>0.34722222222222227</v>
          </cell>
          <cell r="F1359">
            <v>4.65E-2</v>
          </cell>
          <cell r="G1359"/>
          <cell r="H1359">
            <v>1.2200000000000001E-2</v>
          </cell>
          <cell r="I1359">
            <v>1.0999999999999999E-2</v>
          </cell>
          <cell r="J1359">
            <v>7.4000000000000003E-3</v>
          </cell>
        </row>
        <row r="1360">
          <cell r="B1360" t="str">
            <v>CY-50</v>
          </cell>
          <cell r="C1360" t="str">
            <v>ESP</v>
          </cell>
          <cell r="D1360">
            <v>44805</v>
          </cell>
          <cell r="E1360">
            <v>0.57638888888888895</v>
          </cell>
          <cell r="F1360">
            <v>7.1000000000000004E-3</v>
          </cell>
          <cell r="G1360"/>
          <cell r="H1360">
            <v>3.0300000000000001E-2</v>
          </cell>
          <cell r="I1360">
            <v>0.38490000000000002</v>
          </cell>
          <cell r="J1360">
            <v>0.1191</v>
          </cell>
        </row>
        <row r="1361">
          <cell r="B1361" t="str">
            <v>LY-55</v>
          </cell>
          <cell r="C1361" t="str">
            <v>ESP</v>
          </cell>
          <cell r="D1361">
            <v>44805</v>
          </cell>
          <cell r="E1361">
            <v>0.58333333333333337</v>
          </cell>
          <cell r="F1361">
            <v>1.5800000000000002E-2</v>
          </cell>
          <cell r="G1361"/>
          <cell r="H1361">
            <v>1.0999999999999999E-2</v>
          </cell>
          <cell r="I1361">
            <v>4.6300000000000001E-2</v>
          </cell>
          <cell r="J1361">
            <v>6.3600000000000004E-2</v>
          </cell>
        </row>
        <row r="1362">
          <cell r="B1362" t="str">
            <v>LY-207</v>
          </cell>
          <cell r="C1362" t="str">
            <v>ESP</v>
          </cell>
          <cell r="D1362">
            <v>44806</v>
          </cell>
          <cell r="E1362">
            <v>0.36458333333333331</v>
          </cell>
          <cell r="F1362">
            <v>7.1000000000000004E-3</v>
          </cell>
          <cell r="G1362"/>
          <cell r="H1362">
            <v>5.7999999999999996E-3</v>
          </cell>
          <cell r="I1362">
            <v>1.06E-2</v>
          </cell>
          <cell r="J1362">
            <v>1.0800000000000001E-2</v>
          </cell>
        </row>
        <row r="1363">
          <cell r="B1363" t="str">
            <v>LY-185</v>
          </cell>
          <cell r="C1363" t="str">
            <v>ESP</v>
          </cell>
          <cell r="D1363">
            <v>44806</v>
          </cell>
          <cell r="E1363">
            <v>0.375</v>
          </cell>
          <cell r="F1363">
            <v>3.61E-2</v>
          </cell>
          <cell r="G1363"/>
          <cell r="H1363">
            <v>6.5600000000000006E-2</v>
          </cell>
          <cell r="I1363">
            <v>7.1099999999999997E-2</v>
          </cell>
          <cell r="J1363">
            <v>1.6500000000000001E-2</v>
          </cell>
        </row>
        <row r="1364">
          <cell r="B1364" t="str">
            <v>LY-196</v>
          </cell>
          <cell r="C1364" t="str">
            <v>ESP</v>
          </cell>
          <cell r="D1364">
            <v>44806</v>
          </cell>
          <cell r="E1364">
            <v>0.57638888888888895</v>
          </cell>
          <cell r="F1364">
            <v>0.02</v>
          </cell>
          <cell r="G1364"/>
          <cell r="H1364">
            <v>2.6599999999999999E-2</v>
          </cell>
          <cell r="I1364">
            <v>1.2200000000000001E-2</v>
          </cell>
          <cell r="J1364">
            <v>1.8E-3</v>
          </cell>
        </row>
        <row r="1365">
          <cell r="B1365" t="str">
            <v>LY-199</v>
          </cell>
          <cell r="C1365" t="str">
            <v>ESP</v>
          </cell>
          <cell r="D1365">
            <v>44806</v>
          </cell>
          <cell r="E1365">
            <v>0.57847222222222217</v>
          </cell>
          <cell r="F1365">
            <v>8.6999999999999994E-3</v>
          </cell>
          <cell r="G1365"/>
          <cell r="H1365">
            <v>3.6799999999999999E-2</v>
          </cell>
          <cell r="I1365">
            <v>5.1200000000000002E-2</v>
          </cell>
          <cell r="J1365">
            <v>1.6799999999999999E-2</v>
          </cell>
        </row>
        <row r="1366">
          <cell r="B1366" t="str">
            <v>MN-82</v>
          </cell>
          <cell r="C1366" t="str">
            <v>ESP</v>
          </cell>
          <cell r="D1366">
            <v>44809</v>
          </cell>
          <cell r="E1366">
            <v>0.3298611111111111</v>
          </cell>
          <cell r="F1366">
            <v>1.1299999999999999E-2</v>
          </cell>
          <cell r="G1366"/>
          <cell r="H1366">
            <v>1.29E-2</v>
          </cell>
          <cell r="I1366">
            <v>1.9699999999999999E-2</v>
          </cell>
          <cell r="J1366">
            <v>1.1299999999999999E-2</v>
          </cell>
        </row>
        <row r="1367">
          <cell r="B1367" t="str">
            <v>MN-93</v>
          </cell>
          <cell r="C1367" t="str">
            <v>ESP</v>
          </cell>
          <cell r="D1367">
            <v>44809</v>
          </cell>
          <cell r="E1367">
            <v>0.34027777777777773</v>
          </cell>
          <cell r="F1367">
            <v>6.3E-3</v>
          </cell>
          <cell r="G1367"/>
          <cell r="H1367">
            <v>1.67E-2</v>
          </cell>
          <cell r="I1367">
            <v>1.5699999999999999E-2</v>
          </cell>
          <cell r="J1367">
            <v>9.1000000000000004E-3</v>
          </cell>
        </row>
        <row r="1368">
          <cell r="B1368" t="str">
            <v>MN-89</v>
          </cell>
          <cell r="C1368" t="str">
            <v>ESP</v>
          </cell>
          <cell r="D1368">
            <v>44809</v>
          </cell>
          <cell r="E1368">
            <v>0.56944444444444442</v>
          </cell>
          <cell r="F1368">
            <v>4.5999999999999999E-3</v>
          </cell>
          <cell r="G1368"/>
          <cell r="H1368">
            <v>4.4999999999999997E-3</v>
          </cell>
          <cell r="I1368">
            <v>6.6E-3</v>
          </cell>
          <cell r="J1368">
            <v>1.6000000000000001E-3</v>
          </cell>
        </row>
        <row r="1369">
          <cell r="B1369" t="str">
            <v>LY-211</v>
          </cell>
          <cell r="C1369" t="str">
            <v>ESP</v>
          </cell>
          <cell r="D1369">
            <v>44809</v>
          </cell>
          <cell r="E1369">
            <v>0.57291666666666663</v>
          </cell>
          <cell r="F1369">
            <v>1.9900000000000001E-2</v>
          </cell>
          <cell r="G1369"/>
          <cell r="H1369">
            <v>2.2100000000000002E-2</v>
          </cell>
          <cell r="I1369">
            <v>2.4E-2</v>
          </cell>
          <cell r="J1369">
            <v>7.6E-3</v>
          </cell>
        </row>
        <row r="1370">
          <cell r="B1370" t="str">
            <v>MN-38</v>
          </cell>
          <cell r="C1370" t="str">
            <v>ESP</v>
          </cell>
          <cell r="D1370">
            <v>44810</v>
          </cell>
          <cell r="E1370">
            <v>0.34722222222222227</v>
          </cell>
          <cell r="F1370">
            <v>4.1999999999999997E-3</v>
          </cell>
          <cell r="G1370"/>
          <cell r="H1370">
            <v>7.1000000000000004E-3</v>
          </cell>
          <cell r="I1370">
            <v>9.7000000000000003E-3</v>
          </cell>
          <cell r="J1370">
            <v>2.63E-2</v>
          </cell>
        </row>
        <row r="1371">
          <cell r="B1371" t="str">
            <v>MN-28</v>
          </cell>
          <cell r="C1371" t="str">
            <v>ESP</v>
          </cell>
          <cell r="D1371">
            <v>44810</v>
          </cell>
          <cell r="E1371">
            <v>0.3576388888888889</v>
          </cell>
          <cell r="F1371">
            <v>4.7999999999999996E-3</v>
          </cell>
          <cell r="G1371"/>
          <cell r="H1371">
            <v>2.01E-2</v>
          </cell>
          <cell r="I1371">
            <v>1.67E-2</v>
          </cell>
          <cell r="J1371">
            <v>8.8999999999999999E-3</v>
          </cell>
        </row>
        <row r="1372">
          <cell r="B1372" t="str">
            <v>LY-206</v>
          </cell>
          <cell r="C1372" t="str">
            <v>ESP</v>
          </cell>
          <cell r="D1372">
            <v>44810</v>
          </cell>
          <cell r="E1372">
            <v>0.57291666666666663</v>
          </cell>
          <cell r="F1372">
            <v>1.6000000000000001E-3</v>
          </cell>
          <cell r="G1372"/>
          <cell r="H1372">
            <v>3.1099999999999999E-2</v>
          </cell>
          <cell r="I1372">
            <v>3.1600000000000003E-2</v>
          </cell>
          <cell r="J1372">
            <v>1.2500000000000001E-2</v>
          </cell>
        </row>
        <row r="1373">
          <cell r="B1373" t="str">
            <v>MN-71</v>
          </cell>
          <cell r="C1373" t="str">
            <v>ESP</v>
          </cell>
          <cell r="D1373">
            <v>44810</v>
          </cell>
          <cell r="E1373">
            <v>0.55555555555555558</v>
          </cell>
          <cell r="F1373">
            <v>5.7000000000000002E-3</v>
          </cell>
          <cell r="G1373"/>
          <cell r="H1373">
            <v>4.7999999999999996E-3</v>
          </cell>
          <cell r="I1373">
            <v>9.1999999999999998E-3</v>
          </cell>
          <cell r="J1373">
            <v>8.0999999999999996E-3</v>
          </cell>
        </row>
        <row r="1374">
          <cell r="B1374" t="str">
            <v>MN-32</v>
          </cell>
          <cell r="C1374" t="str">
            <v>ESP</v>
          </cell>
          <cell r="D1374">
            <v>44811</v>
          </cell>
          <cell r="E1374">
            <v>0.35069444444444442</v>
          </cell>
          <cell r="F1374">
            <v>6.8999999999999999E-3</v>
          </cell>
          <cell r="G1374"/>
          <cell r="H1374">
            <v>1.8100000000000002E-2</v>
          </cell>
          <cell r="I1374">
            <v>3.2300000000000002E-2</v>
          </cell>
          <cell r="J1374">
            <v>1.7100000000000001E-2</v>
          </cell>
        </row>
        <row r="1375">
          <cell r="B1375" t="str">
            <v>MN-26</v>
          </cell>
          <cell r="C1375" t="str">
            <v>ESP</v>
          </cell>
          <cell r="D1375">
            <v>44811</v>
          </cell>
          <cell r="E1375">
            <v>0.35416666666666669</v>
          </cell>
          <cell r="F1375">
            <v>3.5999999999999999E-3</v>
          </cell>
          <cell r="G1375"/>
          <cell r="H1375">
            <v>4.1000000000000003E-3</v>
          </cell>
          <cell r="I1375">
            <v>6.3E-3</v>
          </cell>
          <cell r="J1375">
            <v>4.4999999999999997E-3</v>
          </cell>
        </row>
        <row r="1376">
          <cell r="B1376" t="str">
            <v>MN-65</v>
          </cell>
          <cell r="C1376" t="str">
            <v>ESP</v>
          </cell>
          <cell r="D1376">
            <v>44811</v>
          </cell>
          <cell r="E1376">
            <v>0.56597222222222221</v>
          </cell>
          <cell r="F1376">
            <v>3.2000000000000002E-3</v>
          </cell>
          <cell r="G1376"/>
          <cell r="H1376">
            <v>4.1999999999999997E-3</v>
          </cell>
          <cell r="I1376">
            <v>1.1900000000000001E-2</v>
          </cell>
          <cell r="J1376">
            <v>1.11E-2</v>
          </cell>
        </row>
        <row r="1377">
          <cell r="B1377" t="str">
            <v>MN-81</v>
          </cell>
          <cell r="C1377" t="str">
            <v>ESP</v>
          </cell>
          <cell r="D1377">
            <v>44811</v>
          </cell>
          <cell r="E1377">
            <v>0.57291666666666663</v>
          </cell>
          <cell r="F1377">
            <v>3.39E-2</v>
          </cell>
          <cell r="G1377"/>
          <cell r="H1377">
            <v>3.4799999999999998E-2</v>
          </cell>
          <cell r="I1377">
            <v>2.3800000000000002E-2</v>
          </cell>
          <cell r="J1377">
            <v>1.37E-2</v>
          </cell>
        </row>
        <row r="1378">
          <cell r="B1378" t="str">
            <v>MN-41</v>
          </cell>
          <cell r="C1378" t="str">
            <v>ESP</v>
          </cell>
          <cell r="D1378">
            <v>44812</v>
          </cell>
          <cell r="E1378">
            <v>0.34375</v>
          </cell>
          <cell r="F1378">
            <v>1.7000000000000001E-2</v>
          </cell>
          <cell r="G1378"/>
          <cell r="H1378">
            <v>2.0199999999999999E-2</v>
          </cell>
          <cell r="I1378">
            <v>4.0800000000000003E-2</v>
          </cell>
          <cell r="J1378">
            <v>2.5899999999999999E-2</v>
          </cell>
        </row>
        <row r="1379">
          <cell r="B1379" t="str">
            <v>MN-14</v>
          </cell>
          <cell r="C1379" t="str">
            <v>ESP</v>
          </cell>
          <cell r="D1379">
            <v>44812</v>
          </cell>
          <cell r="E1379">
            <v>0.35069444444444442</v>
          </cell>
          <cell r="F1379">
            <v>1.8E-3</v>
          </cell>
          <cell r="G1379"/>
          <cell r="H1379">
            <v>8.3000000000000001E-3</v>
          </cell>
          <cell r="I1379">
            <v>1.1299999999999999E-2</v>
          </cell>
          <cell r="J1379">
            <v>4.8999999999999998E-3</v>
          </cell>
        </row>
        <row r="1380">
          <cell r="B1380" t="str">
            <v>MN-75</v>
          </cell>
          <cell r="C1380" t="str">
            <v>ESP</v>
          </cell>
          <cell r="D1380">
            <v>44812</v>
          </cell>
          <cell r="E1380">
            <v>0.56805555555555554</v>
          </cell>
          <cell r="F1380">
            <v>7.4999999999999997E-3</v>
          </cell>
          <cell r="G1380"/>
          <cell r="H1380">
            <v>6.8999999999999999E-3</v>
          </cell>
          <cell r="I1380">
            <v>1.0699999999999999E-2</v>
          </cell>
          <cell r="J1380">
            <v>9.2999999999999992E-3</v>
          </cell>
        </row>
        <row r="1381">
          <cell r="B1381" t="str">
            <v>MN-37</v>
          </cell>
          <cell r="C1381" t="str">
            <v>ESP</v>
          </cell>
          <cell r="D1381">
            <v>44812</v>
          </cell>
          <cell r="E1381">
            <v>0.57638888888888895</v>
          </cell>
          <cell r="F1381">
            <v>2.8999999999999998E-3</v>
          </cell>
          <cell r="G1381"/>
          <cell r="H1381">
            <v>7.4999999999999997E-3</v>
          </cell>
          <cell r="I1381">
            <v>8.0999999999999996E-3</v>
          </cell>
          <cell r="J1381">
            <v>5.7000000000000002E-3</v>
          </cell>
        </row>
        <row r="1382">
          <cell r="B1382" t="str">
            <v>MN-21</v>
          </cell>
          <cell r="C1382" t="str">
            <v>ESP</v>
          </cell>
          <cell r="D1382">
            <v>44813</v>
          </cell>
          <cell r="E1382">
            <v>0.33680555555555558</v>
          </cell>
          <cell r="F1382">
            <v>1.23E-2</v>
          </cell>
          <cell r="G1382"/>
          <cell r="H1382">
            <v>1.8700000000000001E-2</v>
          </cell>
          <cell r="I1382">
            <v>1.41E-2</v>
          </cell>
          <cell r="J1382">
            <v>7.9000000000000008E-3</v>
          </cell>
        </row>
        <row r="1383">
          <cell r="B1383" t="str">
            <v>MN-80</v>
          </cell>
          <cell r="C1383" t="str">
            <v>ESP</v>
          </cell>
          <cell r="D1383">
            <v>44813</v>
          </cell>
          <cell r="E1383">
            <v>0.34375</v>
          </cell>
          <cell r="F1383">
            <v>5.3E-3</v>
          </cell>
          <cell r="G1383"/>
          <cell r="H1383">
            <v>6.7999999999999996E-3</v>
          </cell>
          <cell r="I1383">
            <v>1.3299999999999999E-2</v>
          </cell>
          <cell r="J1383">
            <v>6.6E-3</v>
          </cell>
        </row>
        <row r="1384">
          <cell r="B1384" t="str">
            <v>MN-87ST</v>
          </cell>
          <cell r="C1384" t="str">
            <v>ESP</v>
          </cell>
          <cell r="D1384">
            <v>44813</v>
          </cell>
          <cell r="E1384">
            <v>0.57291666666666663</v>
          </cell>
          <cell r="F1384">
            <v>5.3900000000000003E-2</v>
          </cell>
          <cell r="G1384"/>
          <cell r="H1384">
            <v>3.49E-2</v>
          </cell>
          <cell r="I1384">
            <v>2.9499999999999998E-2</v>
          </cell>
          <cell r="J1384">
            <v>2.6599999999999999E-2</v>
          </cell>
        </row>
        <row r="1385">
          <cell r="B1385" t="str">
            <v>LY-83</v>
          </cell>
          <cell r="C1385" t="str">
            <v>ESP</v>
          </cell>
          <cell r="D1385">
            <v>44813</v>
          </cell>
          <cell r="E1385">
            <v>0.58333333333333337</v>
          </cell>
          <cell r="F1385">
            <v>4.4999999999999997E-3</v>
          </cell>
          <cell r="G1385"/>
          <cell r="H1385">
            <v>1.24E-2</v>
          </cell>
          <cell r="I1385">
            <v>1.0500000000000001E-2</v>
          </cell>
          <cell r="J1385">
            <v>4.4999999999999997E-3</v>
          </cell>
        </row>
        <row r="1386">
          <cell r="B1386" t="str">
            <v>LY-302</v>
          </cell>
          <cell r="C1386" t="str">
            <v>ESP</v>
          </cell>
          <cell r="D1386">
            <v>44816</v>
          </cell>
          <cell r="E1386">
            <v>0.34375</v>
          </cell>
          <cell r="F1386">
            <v>5.3E-3</v>
          </cell>
          <cell r="G1386"/>
          <cell r="H1386">
            <v>3.7900000000000003E-2</v>
          </cell>
          <cell r="I1386">
            <v>0.11849999999999999</v>
          </cell>
          <cell r="J1386">
            <v>3.1899999999999998E-2</v>
          </cell>
        </row>
        <row r="1387">
          <cell r="B1387" t="str">
            <v>CY-60</v>
          </cell>
          <cell r="C1387" t="str">
            <v>ESP</v>
          </cell>
          <cell r="D1387">
            <v>44816</v>
          </cell>
          <cell r="E1387">
            <v>0.3576388888888889</v>
          </cell>
          <cell r="F1387">
            <v>5.8599999999999999E-2</v>
          </cell>
          <cell r="G1387"/>
          <cell r="H1387">
            <v>0.27810000000000001</v>
          </cell>
          <cell r="I1387">
            <v>0.3695</v>
          </cell>
          <cell r="J1387">
            <v>0.127</v>
          </cell>
        </row>
        <row r="1388">
          <cell r="B1388" t="str">
            <v>LY-202</v>
          </cell>
          <cell r="C1388" t="str">
            <v>ESP</v>
          </cell>
          <cell r="D1388">
            <v>44816</v>
          </cell>
          <cell r="E1388">
            <v>0.57986111111111105</v>
          </cell>
          <cell r="F1388">
            <v>3.4200000000000001E-2</v>
          </cell>
          <cell r="G1388"/>
          <cell r="H1388">
            <v>4.2299999999999997E-2</v>
          </cell>
          <cell r="I1388">
            <v>2.8500000000000001E-2</v>
          </cell>
          <cell r="J1388">
            <v>8.0999999999999996E-3</v>
          </cell>
        </row>
        <row r="1389">
          <cell r="B1389" t="str">
            <v>LY-225</v>
          </cell>
          <cell r="C1389" t="str">
            <v>ESP</v>
          </cell>
          <cell r="D1389">
            <v>44816</v>
          </cell>
          <cell r="E1389">
            <v>0.58333333333333337</v>
          </cell>
          <cell r="F1389">
            <v>5.7999999999999996E-3</v>
          </cell>
          <cell r="G1389"/>
          <cell r="H1389">
            <v>6.7999999999999996E-3</v>
          </cell>
          <cell r="I1389">
            <v>1.1299999999999999E-2</v>
          </cell>
          <cell r="J1389">
            <v>1.54E-2</v>
          </cell>
        </row>
        <row r="1390">
          <cell r="B1390" t="str">
            <v>LY-152</v>
          </cell>
          <cell r="C1390" t="str">
            <v>ESP</v>
          </cell>
          <cell r="D1390">
            <v>44817</v>
          </cell>
          <cell r="E1390">
            <v>0.34027777777777773</v>
          </cell>
          <cell r="F1390">
            <v>5.1000000000000004E-3</v>
          </cell>
          <cell r="G1390"/>
          <cell r="H1390">
            <v>2.87E-2</v>
          </cell>
          <cell r="I1390">
            <v>4.2200000000000001E-2</v>
          </cell>
          <cell r="J1390">
            <v>2.76E-2</v>
          </cell>
        </row>
        <row r="1391">
          <cell r="B1391" t="str">
            <v>LY-97</v>
          </cell>
          <cell r="C1391" t="str">
            <v>ESP</v>
          </cell>
          <cell r="D1391">
            <v>44817</v>
          </cell>
          <cell r="E1391">
            <v>0.34722222222222227</v>
          </cell>
          <cell r="F1391">
            <v>2.7000000000000001E-3</v>
          </cell>
          <cell r="G1391"/>
          <cell r="H1391">
            <v>2.5899999999999999E-2</v>
          </cell>
          <cell r="I1391">
            <v>4.3200000000000002E-2</v>
          </cell>
          <cell r="J1391">
            <v>2.4199999999999999E-2</v>
          </cell>
        </row>
        <row r="1392">
          <cell r="B1392" t="str">
            <v>LY-275</v>
          </cell>
          <cell r="C1392" t="str">
            <v>ESP</v>
          </cell>
          <cell r="D1392">
            <v>45182</v>
          </cell>
          <cell r="E1392">
            <v>0.57291666666666663</v>
          </cell>
          <cell r="F1392">
            <v>3.8999999999999998E-3</v>
          </cell>
          <cell r="G1392"/>
          <cell r="H1392">
            <v>1.3599999999999999E-2</v>
          </cell>
          <cell r="I1392">
            <v>5.4300000000000001E-2</v>
          </cell>
          <cell r="J1392">
            <v>1.7999999999999999E-2</v>
          </cell>
        </row>
        <row r="1393">
          <cell r="B1393" t="str">
            <v>LY-44</v>
          </cell>
          <cell r="C1393" t="str">
            <v>ESP</v>
          </cell>
          <cell r="D1393">
            <v>45182</v>
          </cell>
          <cell r="E1393">
            <v>0.57986111111111105</v>
          </cell>
          <cell r="F1393">
            <v>7.6E-3</v>
          </cell>
          <cell r="G1393"/>
          <cell r="H1393">
            <v>1.0699999999999999E-2</v>
          </cell>
          <cell r="I1393">
            <v>1.5699999999999999E-2</v>
          </cell>
          <cell r="J1393">
            <v>6.7000000000000002E-3</v>
          </cell>
        </row>
        <row r="1394">
          <cell r="B1394" t="str">
            <v>LY-140</v>
          </cell>
          <cell r="C1394" t="str">
            <v>ESP</v>
          </cell>
          <cell r="D1394">
            <v>44818</v>
          </cell>
          <cell r="E1394">
            <v>0.35416666666666669</v>
          </cell>
          <cell r="F1394">
            <v>3.8E-3</v>
          </cell>
          <cell r="G1394"/>
          <cell r="H1394">
            <v>1.6299999999999999E-2</v>
          </cell>
          <cell r="I1394">
            <v>2.9100000000000001E-2</v>
          </cell>
          <cell r="J1394">
            <v>1.0800000000000001E-2</v>
          </cell>
        </row>
        <row r="1395">
          <cell r="B1395" t="str">
            <v>LY-215</v>
          </cell>
          <cell r="C1395" t="str">
            <v>ESP</v>
          </cell>
          <cell r="D1395">
            <v>44818</v>
          </cell>
          <cell r="E1395">
            <v>0.35138888888888892</v>
          </cell>
          <cell r="F1395">
            <v>9.4999999999999998E-3</v>
          </cell>
          <cell r="G1395"/>
          <cell r="H1395">
            <v>4.5900000000000003E-2</v>
          </cell>
          <cell r="I1395">
            <v>5.3900000000000003E-2</v>
          </cell>
          <cell r="J1395">
            <v>1.77E-2</v>
          </cell>
        </row>
        <row r="1396">
          <cell r="B1396" t="str">
            <v>LY-245 A</v>
          </cell>
          <cell r="C1396" t="str">
            <v>ESP</v>
          </cell>
          <cell r="D1396">
            <v>44818</v>
          </cell>
          <cell r="E1396">
            <v>0.57291666666666663</v>
          </cell>
          <cell r="F1396">
            <v>8.2000000000000007E-3</v>
          </cell>
          <cell r="G1396"/>
          <cell r="H1396">
            <v>1.0200000000000001E-2</v>
          </cell>
          <cell r="I1396">
            <v>1.6E-2</v>
          </cell>
          <cell r="J1396">
            <v>0.1173</v>
          </cell>
        </row>
        <row r="1397">
          <cell r="B1397" t="str">
            <v>LY-245 A</v>
          </cell>
          <cell r="C1397" t="str">
            <v>ESP</v>
          </cell>
          <cell r="D1397">
            <v>44820</v>
          </cell>
          <cell r="E1397">
            <v>0.34375</v>
          </cell>
          <cell r="F1397">
            <v>5.7000000000000002E-3</v>
          </cell>
          <cell r="G1397"/>
          <cell r="H1397">
            <v>1.37E-2</v>
          </cell>
          <cell r="I1397">
            <v>3.3399999999999999E-2</v>
          </cell>
          <cell r="J1397">
            <v>7.4700000000000003E-2</v>
          </cell>
        </row>
        <row r="1398">
          <cell r="B1398" t="str">
            <v>MCA-01</v>
          </cell>
          <cell r="C1398" t="str">
            <v>ESP</v>
          </cell>
          <cell r="D1398">
            <v>44818</v>
          </cell>
          <cell r="E1398">
            <v>0.59375</v>
          </cell>
          <cell r="F1398">
            <v>0.04</v>
          </cell>
          <cell r="G1398"/>
          <cell r="H1398">
            <v>3.9E-2</v>
          </cell>
          <cell r="I1398">
            <v>2.4E-2</v>
          </cell>
          <cell r="J1398">
            <v>7.7999999999999996E-3</v>
          </cell>
        </row>
        <row r="1399">
          <cell r="B1399" t="str">
            <v>MCA-01</v>
          </cell>
          <cell r="C1399" t="str">
            <v>ESP</v>
          </cell>
          <cell r="D1399">
            <v>44820</v>
          </cell>
          <cell r="E1399">
            <v>0.31597222222222221</v>
          </cell>
          <cell r="F1399">
            <v>3.0099999999999998E-2</v>
          </cell>
          <cell r="G1399"/>
          <cell r="H1399">
            <v>6.3200000000000006E-2</v>
          </cell>
          <cell r="I1399">
            <v>3.0499999999999999E-2</v>
          </cell>
          <cell r="J1399">
            <v>8.8000000000000005E-3</v>
          </cell>
        </row>
        <row r="1400">
          <cell r="B1400" t="str">
            <v>LY-283</v>
          </cell>
          <cell r="C1400" t="str">
            <v>ESP</v>
          </cell>
          <cell r="D1400">
            <v>44820</v>
          </cell>
          <cell r="E1400">
            <v>0.35416666666666669</v>
          </cell>
          <cell r="F1400">
            <v>5.8999999999999999E-3</v>
          </cell>
          <cell r="G1400"/>
          <cell r="H1400">
            <v>1.72E-2</v>
          </cell>
          <cell r="I1400">
            <v>2.8000000000000001E-2</v>
          </cell>
          <cell r="J1400">
            <v>1.6400000000000001E-2</v>
          </cell>
        </row>
        <row r="1401">
          <cell r="B1401" t="str">
            <v>LY-162</v>
          </cell>
          <cell r="C1401" t="str">
            <v>ESP</v>
          </cell>
          <cell r="D1401">
            <v>44820</v>
          </cell>
          <cell r="E1401">
            <v>0.3611111111111111</v>
          </cell>
          <cell r="F1401">
            <v>4.8999999999999998E-3</v>
          </cell>
          <cell r="G1401"/>
          <cell r="H1401">
            <v>1.9800000000000002E-2</v>
          </cell>
          <cell r="I1401">
            <v>4.4699999999999997E-2</v>
          </cell>
          <cell r="J1401">
            <v>3.8399999999999997E-2</v>
          </cell>
        </row>
        <row r="1402">
          <cell r="B1402" t="str">
            <v>LY-137</v>
          </cell>
          <cell r="C1402" t="str">
            <v>ESP</v>
          </cell>
          <cell r="D1402">
            <v>44820</v>
          </cell>
          <cell r="E1402">
            <v>0.57291666666666663</v>
          </cell>
          <cell r="F1402">
            <v>3.5000000000000001E-3</v>
          </cell>
          <cell r="G1402"/>
          <cell r="H1402">
            <v>5.5999999999999999E-3</v>
          </cell>
          <cell r="I1402">
            <v>1.3100000000000001E-2</v>
          </cell>
          <cell r="J1402">
            <v>1.2500000000000001E-2</v>
          </cell>
        </row>
        <row r="1403">
          <cell r="B1403" t="str">
            <v>LY-257</v>
          </cell>
          <cell r="C1403" t="str">
            <v>ESP</v>
          </cell>
          <cell r="D1403">
            <v>44820</v>
          </cell>
          <cell r="E1403">
            <v>0.58333333333333337</v>
          </cell>
          <cell r="F1403">
            <v>4.1000000000000003E-3</v>
          </cell>
          <cell r="G1403"/>
          <cell r="H1403">
            <v>1.29E-2</v>
          </cell>
          <cell r="I1403">
            <v>2.1100000000000001E-2</v>
          </cell>
          <cell r="J1403">
            <v>1.6500000000000001E-2</v>
          </cell>
        </row>
        <row r="1404">
          <cell r="B1404" t="str">
            <v>CY-11</v>
          </cell>
          <cell r="C1404" t="str">
            <v>ESP</v>
          </cell>
          <cell r="D1404">
            <v>44823</v>
          </cell>
          <cell r="E1404">
            <v>0.35069444444444442</v>
          </cell>
          <cell r="F1404">
            <v>1.54E-2</v>
          </cell>
          <cell r="G1404"/>
          <cell r="H1404">
            <v>0.25030000000000002</v>
          </cell>
          <cell r="I1404">
            <v>0.56369999999999998</v>
          </cell>
          <cell r="J1404">
            <v>0.2359</v>
          </cell>
        </row>
        <row r="1405">
          <cell r="B1405" t="str">
            <v>CY-08</v>
          </cell>
          <cell r="C1405" t="str">
            <v>ESP</v>
          </cell>
          <cell r="D1405">
            <v>44823</v>
          </cell>
          <cell r="E1405">
            <v>0.3576388888888889</v>
          </cell>
          <cell r="F1405">
            <v>5.1000000000000004E-3</v>
          </cell>
          <cell r="G1405"/>
          <cell r="H1405">
            <v>1.21E-2</v>
          </cell>
          <cell r="I1405">
            <v>1.0500000000000001E-2</v>
          </cell>
          <cell r="J1405">
            <v>7.6E-3</v>
          </cell>
        </row>
        <row r="1406">
          <cell r="B1406" t="str">
            <v>LY-021</v>
          </cell>
          <cell r="C1406" t="str">
            <v>BM</v>
          </cell>
          <cell r="D1406">
            <v>44823</v>
          </cell>
          <cell r="E1406">
            <v>0.57291666666666663</v>
          </cell>
          <cell r="F1406">
            <v>6.7999999999999996E-3</v>
          </cell>
          <cell r="G1406"/>
          <cell r="H1406">
            <v>8.3999999999999995E-3</v>
          </cell>
          <cell r="I1406">
            <v>1.24E-2</v>
          </cell>
          <cell r="J1406">
            <v>2.46E-2</v>
          </cell>
        </row>
        <row r="1407">
          <cell r="B1407" t="str">
            <v>LY-093</v>
          </cell>
          <cell r="C1407" t="str">
            <v>BM</v>
          </cell>
          <cell r="D1407">
            <v>44823</v>
          </cell>
          <cell r="E1407">
            <v>0.59027777777777779</v>
          </cell>
          <cell r="F1407">
            <v>4.7000000000000002E-3</v>
          </cell>
          <cell r="G1407"/>
          <cell r="H1407">
            <v>7.0000000000000001E-3</v>
          </cell>
          <cell r="I1407">
            <v>8.8999999999999999E-3</v>
          </cell>
          <cell r="J1407">
            <v>1.0800000000000001E-2</v>
          </cell>
        </row>
        <row r="1408">
          <cell r="B1408" t="str">
            <v>LY-249</v>
          </cell>
          <cell r="C1408" t="str">
            <v>ESP</v>
          </cell>
          <cell r="D1408">
            <v>44824</v>
          </cell>
          <cell r="E1408">
            <v>0.3298611111111111</v>
          </cell>
          <cell r="F1408">
            <v>7.6E-3</v>
          </cell>
          <cell r="G1408"/>
          <cell r="H1408">
            <v>7.4000000000000003E-3</v>
          </cell>
          <cell r="I1408">
            <v>6.8999999999999999E-3</v>
          </cell>
          <cell r="J1408">
            <v>6.4000000000000003E-3</v>
          </cell>
        </row>
        <row r="1409">
          <cell r="B1409" t="str">
            <v>LY-153</v>
          </cell>
          <cell r="C1409" t="str">
            <v>ESP</v>
          </cell>
          <cell r="D1409">
            <v>44824</v>
          </cell>
          <cell r="E1409">
            <v>0.35069444444444442</v>
          </cell>
          <cell r="F1409">
            <v>1.4800000000000001E-2</v>
          </cell>
          <cell r="G1409"/>
          <cell r="H1409">
            <v>4.2700000000000002E-2</v>
          </cell>
          <cell r="I1409">
            <v>0.17119999999999999</v>
          </cell>
          <cell r="J1409">
            <v>6.7400000000000002E-2</v>
          </cell>
        </row>
        <row r="1410">
          <cell r="B1410" t="str">
            <v>MN-52</v>
          </cell>
          <cell r="C1410" t="str">
            <v>INYECCION</v>
          </cell>
          <cell r="D1410">
            <v>44824</v>
          </cell>
          <cell r="E1410">
            <v>0.58333333333333337</v>
          </cell>
          <cell r="F1410">
            <v>5.1999999999999998E-3</v>
          </cell>
          <cell r="G1410"/>
          <cell r="H1410">
            <v>1.1900000000000001E-2</v>
          </cell>
          <cell r="I1410">
            <v>7.4000000000000003E-3</v>
          </cell>
          <cell r="J1410">
            <v>5.1000000000000004E-3</v>
          </cell>
        </row>
        <row r="1411">
          <cell r="B1411" t="str">
            <v>MN-17</v>
          </cell>
          <cell r="C1411" t="str">
            <v>ESP</v>
          </cell>
          <cell r="D1411">
            <v>44824</v>
          </cell>
          <cell r="E1411">
            <v>0.59166666666666667</v>
          </cell>
          <cell r="F1411">
            <v>2.6100000000000002E-2</v>
          </cell>
          <cell r="G1411"/>
          <cell r="H1411">
            <v>6.7000000000000002E-3</v>
          </cell>
          <cell r="I1411">
            <v>6.3E-3</v>
          </cell>
          <cell r="J1411">
            <v>7.7999999999999996E-3</v>
          </cell>
        </row>
        <row r="1412">
          <cell r="B1412" t="str">
            <v>RD-05</v>
          </cell>
          <cell r="C1412" t="str">
            <v>ESP</v>
          </cell>
          <cell r="D1412">
            <v>44825</v>
          </cell>
          <cell r="E1412">
            <v>0.37152777777777773</v>
          </cell>
          <cell r="F1412">
            <v>3.8E-3</v>
          </cell>
          <cell r="G1412"/>
          <cell r="H1412">
            <v>4.4000000000000003E-3</v>
          </cell>
          <cell r="I1412">
            <v>8.8000000000000005E-3</v>
          </cell>
          <cell r="J1412">
            <v>6.8999999999999999E-3</v>
          </cell>
        </row>
        <row r="1413">
          <cell r="B1413" t="str">
            <v>RD-10</v>
          </cell>
          <cell r="C1413" t="str">
            <v>ESP</v>
          </cell>
          <cell r="D1413">
            <v>44825</v>
          </cell>
          <cell r="E1413">
            <v>0.37847222222222227</v>
          </cell>
          <cell r="F1413">
            <v>8.6E-3</v>
          </cell>
          <cell r="G1413"/>
          <cell r="H1413">
            <v>1.8200000000000001E-2</v>
          </cell>
          <cell r="I1413">
            <v>1.46E-2</v>
          </cell>
          <cell r="J1413">
            <v>7.6E-3</v>
          </cell>
        </row>
        <row r="1414">
          <cell r="B1414" t="str">
            <v>CV-12</v>
          </cell>
          <cell r="C1414" t="str">
            <v>ESP</v>
          </cell>
          <cell r="D1414">
            <v>44825</v>
          </cell>
          <cell r="E1414">
            <v>0.59375</v>
          </cell>
          <cell r="F1414">
            <v>2.7400000000000001E-2</v>
          </cell>
          <cell r="G1414"/>
          <cell r="H1414">
            <v>0.14630000000000001</v>
          </cell>
          <cell r="I1414">
            <v>9.01E-2</v>
          </cell>
          <cell r="J1414">
            <v>2.46E-2</v>
          </cell>
        </row>
        <row r="1415">
          <cell r="B1415" t="str">
            <v>RD-14</v>
          </cell>
          <cell r="C1415" t="str">
            <v>ESP</v>
          </cell>
          <cell r="D1415">
            <v>44825</v>
          </cell>
          <cell r="E1415">
            <v>0.58333333333333337</v>
          </cell>
          <cell r="F1415">
            <v>8.6E-3</v>
          </cell>
          <cell r="G1415"/>
          <cell r="H1415">
            <v>1.12E-2</v>
          </cell>
          <cell r="I1415">
            <v>3.8600000000000002E-2</v>
          </cell>
          <cell r="J1415">
            <v>2.47E-2</v>
          </cell>
        </row>
        <row r="1416">
          <cell r="B1416" t="str">
            <v>CV-19</v>
          </cell>
          <cell r="C1416" t="str">
            <v>ESP</v>
          </cell>
          <cell r="D1416">
            <v>44826</v>
          </cell>
          <cell r="E1416">
            <v>0.34027777777777773</v>
          </cell>
          <cell r="F1416">
            <v>1.04E-2</v>
          </cell>
          <cell r="G1416"/>
          <cell r="H1416">
            <v>1.4999999999999999E-2</v>
          </cell>
          <cell r="I1416">
            <v>1.7500000000000002E-2</v>
          </cell>
          <cell r="J1416">
            <v>1.17E-2</v>
          </cell>
        </row>
        <row r="1417">
          <cell r="B1417" t="str">
            <v>CV-11</v>
          </cell>
          <cell r="C1417" t="str">
            <v>ESP</v>
          </cell>
          <cell r="D1417">
            <v>44826</v>
          </cell>
          <cell r="E1417">
            <v>0.3576388888888889</v>
          </cell>
          <cell r="F1417">
            <v>2.3999999999999998E-3</v>
          </cell>
          <cell r="G1417"/>
          <cell r="H1417">
            <v>4.7000000000000002E-3</v>
          </cell>
          <cell r="I1417">
            <v>9.1000000000000004E-3</v>
          </cell>
          <cell r="J1417">
            <v>4.4999999999999997E-3</v>
          </cell>
        </row>
        <row r="1418">
          <cell r="B1418" t="str">
            <v>ARG-01</v>
          </cell>
          <cell r="C1418" t="str">
            <v>ESP</v>
          </cell>
          <cell r="D1418">
            <v>44826</v>
          </cell>
          <cell r="E1418">
            <v>0.57638888888888895</v>
          </cell>
          <cell r="F1418">
            <v>7.7999999999999996E-3</v>
          </cell>
          <cell r="G1418"/>
          <cell r="H1418">
            <v>9.1999999999999998E-3</v>
          </cell>
          <cell r="I1418">
            <v>1.2200000000000001E-2</v>
          </cell>
          <cell r="J1418">
            <v>8.6999999999999994E-3</v>
          </cell>
        </row>
        <row r="1419">
          <cell r="B1419" t="str">
            <v>RD-03</v>
          </cell>
          <cell r="C1419" t="str">
            <v>ESP</v>
          </cell>
          <cell r="D1419">
            <v>44826</v>
          </cell>
          <cell r="E1419">
            <v>0.58680555555555558</v>
          </cell>
          <cell r="F1419">
            <v>1.37E-2</v>
          </cell>
          <cell r="G1419"/>
          <cell r="H1419">
            <v>1.7000000000000001E-2</v>
          </cell>
          <cell r="I1419">
            <v>1.37E-2</v>
          </cell>
          <cell r="J1419">
            <v>5.7999999999999996E-3</v>
          </cell>
        </row>
        <row r="1420">
          <cell r="B1420" t="str">
            <v>RD-08</v>
          </cell>
          <cell r="C1420" t="str">
            <v>ESP</v>
          </cell>
          <cell r="D1420">
            <v>44827</v>
          </cell>
          <cell r="E1420">
            <v>0.35416666666666669</v>
          </cell>
          <cell r="F1420">
            <v>5.1000000000000004E-3</v>
          </cell>
          <cell r="G1420"/>
          <cell r="H1420">
            <v>9.4999999999999998E-3</v>
          </cell>
          <cell r="I1420">
            <v>1.29E-2</v>
          </cell>
          <cell r="J1420">
            <v>5.1999999999999998E-3</v>
          </cell>
        </row>
        <row r="1421">
          <cell r="B1421" t="str">
            <v>RD-11</v>
          </cell>
          <cell r="C1421" t="str">
            <v>ESP</v>
          </cell>
          <cell r="D1421">
            <v>44827</v>
          </cell>
          <cell r="E1421">
            <v>0.36458333333333331</v>
          </cell>
          <cell r="F1421">
            <v>1.21E-2</v>
          </cell>
          <cell r="G1421"/>
          <cell r="H1421">
            <v>1.29E-2</v>
          </cell>
          <cell r="I1421">
            <v>1.0999999999999999E-2</v>
          </cell>
          <cell r="J1421">
            <v>5.0000000000000001E-3</v>
          </cell>
        </row>
        <row r="1422">
          <cell r="B1422" t="str">
            <v>CV-04</v>
          </cell>
          <cell r="C1422" t="str">
            <v>ESP</v>
          </cell>
          <cell r="D1422">
            <v>44827</v>
          </cell>
          <cell r="E1422">
            <v>0.58333333333333337</v>
          </cell>
          <cell r="F1422">
            <v>7.7000000000000002E-3</v>
          </cell>
          <cell r="G1422"/>
          <cell r="H1422">
            <v>8.8999999999999999E-3</v>
          </cell>
          <cell r="I1422">
            <v>1.34E-2</v>
          </cell>
          <cell r="J1422">
            <v>6.1000000000000004E-3</v>
          </cell>
        </row>
        <row r="1423">
          <cell r="B1423" t="str">
            <v>CV-07</v>
          </cell>
          <cell r="C1423" t="str">
            <v>ESP</v>
          </cell>
          <cell r="D1423">
            <v>44827</v>
          </cell>
          <cell r="E1423">
            <v>0.59027777777777779</v>
          </cell>
          <cell r="F1423">
            <v>2.3300000000000001E-2</v>
          </cell>
          <cell r="G1423"/>
          <cell r="H1423">
            <v>0.04</v>
          </cell>
          <cell r="I1423">
            <v>4.0599999999999997E-2</v>
          </cell>
          <cell r="J1423">
            <v>2.76E-2</v>
          </cell>
        </row>
        <row r="1424">
          <cell r="B1424" t="str">
            <v>CL-32</v>
          </cell>
          <cell r="C1424" t="str">
            <v>ESP</v>
          </cell>
          <cell r="D1424">
            <v>44830</v>
          </cell>
          <cell r="E1424">
            <v>0.34375</v>
          </cell>
          <cell r="F1424">
            <v>1.7000000000000001E-2</v>
          </cell>
          <cell r="G1424"/>
          <cell r="H1424">
            <v>2.5399999999999999E-2</v>
          </cell>
          <cell r="I1424">
            <v>3.1600000000000003E-2</v>
          </cell>
          <cell r="J1424">
            <v>1.77E-2</v>
          </cell>
        </row>
        <row r="1425">
          <cell r="B1425" t="str">
            <v>CL-16</v>
          </cell>
          <cell r="C1425" t="str">
            <v>ESP</v>
          </cell>
          <cell r="D1425">
            <v>44830</v>
          </cell>
          <cell r="E1425">
            <v>0.35069444444444442</v>
          </cell>
          <cell r="F1425">
            <v>5.5999999999999999E-3</v>
          </cell>
          <cell r="G1425"/>
          <cell r="H1425">
            <v>8.6E-3</v>
          </cell>
          <cell r="I1425">
            <v>9.5999999999999992E-3</v>
          </cell>
          <cell r="J1425">
            <v>5.4000000000000003E-3</v>
          </cell>
        </row>
        <row r="1426">
          <cell r="B1426" t="str">
            <v>LY-177</v>
          </cell>
          <cell r="C1426" t="str">
            <v>ESP</v>
          </cell>
          <cell r="D1426">
            <v>44830</v>
          </cell>
          <cell r="E1426">
            <v>0.58680555555555558</v>
          </cell>
          <cell r="F1426">
            <v>5.0000000000000001E-3</v>
          </cell>
          <cell r="G1426"/>
          <cell r="H1426">
            <v>8.9999999999999993E-3</v>
          </cell>
          <cell r="I1426">
            <v>6.1999999999999998E-3</v>
          </cell>
          <cell r="J1426">
            <v>5.7000000000000002E-3</v>
          </cell>
        </row>
        <row r="1427">
          <cell r="B1427" t="str">
            <v>CL-28</v>
          </cell>
          <cell r="C1427" t="str">
            <v>ESP</v>
          </cell>
          <cell r="D1427">
            <v>44830</v>
          </cell>
          <cell r="E1427">
            <v>0.57986111111111105</v>
          </cell>
          <cell r="F1427">
            <v>5.0000000000000001E-3</v>
          </cell>
          <cell r="G1427"/>
          <cell r="H1427">
            <v>1.1900000000000001E-2</v>
          </cell>
          <cell r="I1427">
            <v>2.9600000000000001E-2</v>
          </cell>
          <cell r="J1427">
            <v>1.3299999999999999E-2</v>
          </cell>
        </row>
        <row r="1428">
          <cell r="B1428" t="str">
            <v>LY-133</v>
          </cell>
          <cell r="C1428" t="str">
            <v>ESP</v>
          </cell>
          <cell r="D1428">
            <v>44831</v>
          </cell>
          <cell r="E1428">
            <v>0.3611111111111111</v>
          </cell>
          <cell r="F1428">
            <v>9.3899999999999997E-2</v>
          </cell>
          <cell r="G1428"/>
          <cell r="H1428">
            <v>4.7600000000000003E-2</v>
          </cell>
          <cell r="I1428">
            <v>3.8100000000000002E-2</v>
          </cell>
          <cell r="J1428">
            <v>1.95E-2</v>
          </cell>
        </row>
        <row r="1429">
          <cell r="B1429" t="str">
            <v>LY-102</v>
          </cell>
          <cell r="C1429" t="str">
            <v>ESP</v>
          </cell>
          <cell r="D1429">
            <v>44831</v>
          </cell>
          <cell r="E1429">
            <v>0.3666666666666667</v>
          </cell>
          <cell r="F1429">
            <v>6.8999999999999999E-3</v>
          </cell>
          <cell r="G1429"/>
          <cell r="H1429">
            <v>7.4999999999999997E-3</v>
          </cell>
          <cell r="I1429">
            <v>6.8999999999999999E-3</v>
          </cell>
          <cell r="J1429">
            <v>9.7000000000000003E-3</v>
          </cell>
        </row>
        <row r="1430">
          <cell r="B1430" t="str">
            <v>LY-238</v>
          </cell>
          <cell r="C1430" t="str">
            <v>ESP</v>
          </cell>
          <cell r="D1430">
            <v>44831</v>
          </cell>
          <cell r="E1430">
            <v>0.56944444444444442</v>
          </cell>
          <cell r="F1430">
            <v>5.0000000000000001E-3</v>
          </cell>
          <cell r="G1430"/>
          <cell r="H1430">
            <v>8.6999999999999994E-3</v>
          </cell>
          <cell r="I1430">
            <v>5.3E-3</v>
          </cell>
          <cell r="J1430">
            <v>6.3E-3</v>
          </cell>
        </row>
        <row r="1431">
          <cell r="B1431" t="str">
            <v>LY-144</v>
          </cell>
          <cell r="C1431" t="str">
            <v>ESP</v>
          </cell>
          <cell r="D1431">
            <v>44831</v>
          </cell>
          <cell r="E1431">
            <v>0.58472222222222225</v>
          </cell>
          <cell r="F1431">
            <v>5.1000000000000004E-3</v>
          </cell>
          <cell r="G1431"/>
          <cell r="H1431">
            <v>6.4999999999999997E-3</v>
          </cell>
          <cell r="I1431">
            <v>2.0500000000000001E-2</v>
          </cell>
          <cell r="J1431">
            <v>7.9200000000000007E-2</v>
          </cell>
        </row>
        <row r="1432">
          <cell r="B1432" t="str">
            <v>LY-142</v>
          </cell>
          <cell r="C1432" t="str">
            <v>ESP</v>
          </cell>
          <cell r="D1432">
            <v>44832</v>
          </cell>
          <cell r="E1432">
            <v>0.3576388888888889</v>
          </cell>
          <cell r="F1432">
            <v>1.06E-2</v>
          </cell>
          <cell r="G1432"/>
          <cell r="H1432">
            <v>2.75E-2</v>
          </cell>
          <cell r="I1432">
            <v>2.9899999999999999E-2</v>
          </cell>
          <cell r="J1432">
            <v>2.0400000000000001E-2</v>
          </cell>
        </row>
        <row r="1433">
          <cell r="B1433" t="str">
            <v>LY-136</v>
          </cell>
          <cell r="C1433" t="str">
            <v>ESP</v>
          </cell>
          <cell r="D1433">
            <v>44832</v>
          </cell>
          <cell r="E1433">
            <v>0.33958333333333335</v>
          </cell>
          <cell r="F1433">
            <v>1.32E-2</v>
          </cell>
          <cell r="G1433"/>
          <cell r="H1433">
            <v>1.18E-2</v>
          </cell>
          <cell r="I1433">
            <v>2.1999999999999999E-2</v>
          </cell>
          <cell r="J1433">
            <v>9.5500000000000002E-2</v>
          </cell>
        </row>
        <row r="1434">
          <cell r="B1434" t="str">
            <v>LY-231</v>
          </cell>
          <cell r="C1434" t="str">
            <v>ESP</v>
          </cell>
          <cell r="D1434">
            <v>44832</v>
          </cell>
          <cell r="E1434">
            <v>0.56874999999999998</v>
          </cell>
          <cell r="F1434">
            <v>1.43E-2</v>
          </cell>
          <cell r="G1434"/>
          <cell r="H1434">
            <v>5.5300000000000002E-2</v>
          </cell>
          <cell r="I1434">
            <v>4.2900000000000001E-2</v>
          </cell>
          <cell r="J1434">
            <v>1.72E-2</v>
          </cell>
        </row>
        <row r="1435">
          <cell r="B1435" t="str">
            <v>LY-104</v>
          </cell>
          <cell r="C1435" t="str">
            <v>ESP</v>
          </cell>
          <cell r="D1435">
            <v>44832</v>
          </cell>
          <cell r="E1435">
            <v>0.58333333333333337</v>
          </cell>
          <cell r="F1435">
            <v>2.4400000000000002E-2</v>
          </cell>
          <cell r="G1435"/>
          <cell r="H1435">
            <v>2.06E-2</v>
          </cell>
          <cell r="I1435">
            <v>4.5100000000000001E-2</v>
          </cell>
          <cell r="J1435">
            <v>2.69E-2</v>
          </cell>
        </row>
        <row r="1436">
          <cell r="B1436" t="str">
            <v>LY-015</v>
          </cell>
          <cell r="C1436" t="str">
            <v>ESP</v>
          </cell>
          <cell r="D1436">
            <v>44833</v>
          </cell>
          <cell r="E1436">
            <v>0.35972222222222222</v>
          </cell>
          <cell r="F1436">
            <v>0.71350000000000002</v>
          </cell>
          <cell r="G1436"/>
          <cell r="H1436">
            <v>4.4523999999999999</v>
          </cell>
          <cell r="I1436">
            <v>2.1446000000000001</v>
          </cell>
          <cell r="J1436">
            <v>1.4259999999999999</v>
          </cell>
        </row>
        <row r="1437">
          <cell r="B1437" t="str">
            <v>LY-219</v>
          </cell>
          <cell r="C1437" t="str">
            <v>ESP</v>
          </cell>
          <cell r="D1437">
            <v>44833</v>
          </cell>
          <cell r="E1437">
            <v>0.34722222222222227</v>
          </cell>
          <cell r="F1437">
            <v>7.1000000000000004E-3</v>
          </cell>
          <cell r="G1437"/>
          <cell r="H1437">
            <v>1.06E-2</v>
          </cell>
          <cell r="I1437">
            <v>1.4200000000000001E-2</v>
          </cell>
          <cell r="J1437">
            <v>1.04E-2</v>
          </cell>
        </row>
        <row r="1438">
          <cell r="B1438" t="str">
            <v>LY-117</v>
          </cell>
          <cell r="C1438" t="str">
            <v>ESP</v>
          </cell>
          <cell r="D1438">
            <v>44833</v>
          </cell>
          <cell r="E1438">
            <v>0.57986111111111105</v>
          </cell>
          <cell r="F1438">
            <v>0.1164</v>
          </cell>
          <cell r="G1438"/>
          <cell r="H1438">
            <v>1.2843</v>
          </cell>
          <cell r="I1438">
            <v>0.79630000000000001</v>
          </cell>
          <cell r="J1438">
            <v>0.59570000000000001</v>
          </cell>
        </row>
        <row r="1439">
          <cell r="B1439" t="str">
            <v>LY-168</v>
          </cell>
          <cell r="C1439" t="str">
            <v>ESP</v>
          </cell>
          <cell r="D1439">
            <v>44833</v>
          </cell>
          <cell r="E1439">
            <v>0.57500000000000007</v>
          </cell>
          <cell r="F1439">
            <v>1.37E-2</v>
          </cell>
          <cell r="G1439"/>
          <cell r="H1439">
            <v>1.04E-2</v>
          </cell>
          <cell r="I1439">
            <v>1.5599999999999999E-2</v>
          </cell>
          <cell r="J1439">
            <v>1.6E-2</v>
          </cell>
        </row>
        <row r="1440">
          <cell r="B1440" t="str">
            <v>LY-028</v>
          </cell>
          <cell r="C1440" t="str">
            <v>ESP</v>
          </cell>
          <cell r="D1440">
            <v>44834</v>
          </cell>
          <cell r="E1440">
            <v>0.39583333333333331</v>
          </cell>
          <cell r="F1440">
            <v>7.0000000000000001E-3</v>
          </cell>
          <cell r="G1440"/>
          <cell r="H1440">
            <v>9.9000000000000008E-3</v>
          </cell>
          <cell r="I1440">
            <v>2.58E-2</v>
          </cell>
          <cell r="J1440">
            <v>1.7399999999999999E-2</v>
          </cell>
        </row>
        <row r="1441">
          <cell r="B1441" t="str">
            <v>LY-200</v>
          </cell>
          <cell r="C1441" t="str">
            <v>ESP</v>
          </cell>
          <cell r="D1441">
            <v>44834</v>
          </cell>
          <cell r="E1441" t="str">
            <v>9:17. m.</v>
          </cell>
          <cell r="F1441">
            <v>2.35E-2</v>
          </cell>
          <cell r="G1441"/>
          <cell r="H1441">
            <v>5.5199999999999999E-2</v>
          </cell>
          <cell r="I1441">
            <v>5.33E-2</v>
          </cell>
          <cell r="J1441">
            <v>0.1009</v>
          </cell>
        </row>
        <row r="1442">
          <cell r="B1442" t="str">
            <v>LY-127</v>
          </cell>
          <cell r="C1442" t="str">
            <v>ESP</v>
          </cell>
          <cell r="D1442">
            <v>44834</v>
          </cell>
          <cell r="E1442">
            <v>0.61458333333333337</v>
          </cell>
          <cell r="F1442">
            <v>4.4999999999999997E-3</v>
          </cell>
          <cell r="G1442"/>
          <cell r="H1442">
            <v>1.3100000000000001E-2</v>
          </cell>
          <cell r="I1442">
            <v>1.38E-2</v>
          </cell>
          <cell r="J1442">
            <v>1.7399999999999999E-2</v>
          </cell>
        </row>
        <row r="1443">
          <cell r="B1443" t="str">
            <v>LY-149</v>
          </cell>
          <cell r="C1443" t="str">
            <v>ESP</v>
          </cell>
          <cell r="D1443">
            <v>44834</v>
          </cell>
          <cell r="E1443">
            <v>0.6020833333333333</v>
          </cell>
          <cell r="F1443">
            <v>5.1999999999999998E-3</v>
          </cell>
          <cell r="G1443"/>
          <cell r="H1443">
            <v>5.3E-3</v>
          </cell>
          <cell r="I1443">
            <v>1.2200000000000001E-2</v>
          </cell>
          <cell r="J1443">
            <v>1.23E-2</v>
          </cell>
        </row>
        <row r="1444">
          <cell r="B1444" t="str">
            <v>LY-070</v>
          </cell>
          <cell r="C1444" t="str">
            <v>ESP</v>
          </cell>
          <cell r="D1444">
            <v>44837</v>
          </cell>
          <cell r="E1444">
            <v>0.36249999999999999</v>
          </cell>
          <cell r="F1444">
            <v>3.7900000000000003E-2</v>
          </cell>
          <cell r="G1444"/>
          <cell r="H1444">
            <v>4.5100000000000001E-2</v>
          </cell>
          <cell r="I1444">
            <v>3.2899999999999999E-2</v>
          </cell>
          <cell r="J1444">
            <v>3.4500000000000003E-2</v>
          </cell>
        </row>
        <row r="1445">
          <cell r="B1445" t="str">
            <v>LY-263</v>
          </cell>
          <cell r="C1445" t="str">
            <v>ESP</v>
          </cell>
          <cell r="D1445">
            <v>44837</v>
          </cell>
          <cell r="E1445">
            <v>0.37152777777777773</v>
          </cell>
          <cell r="F1445">
            <v>2.8E-3</v>
          </cell>
          <cell r="G1445"/>
          <cell r="H1445">
            <v>6.4000000000000003E-3</v>
          </cell>
          <cell r="I1445">
            <v>1.5800000000000002E-2</v>
          </cell>
          <cell r="J1445">
            <v>1.2999999999999999E-2</v>
          </cell>
        </row>
        <row r="1446">
          <cell r="B1446" t="str">
            <v>CL-06</v>
          </cell>
          <cell r="C1446" t="str">
            <v>ESP</v>
          </cell>
          <cell r="D1446">
            <v>44837</v>
          </cell>
          <cell r="E1446">
            <v>0.59722222222222221</v>
          </cell>
          <cell r="F1446">
            <v>9.4999999999999998E-3</v>
          </cell>
          <cell r="G1446"/>
          <cell r="H1446">
            <v>1.3599999999999999E-2</v>
          </cell>
          <cell r="I1446">
            <v>1.2699999999999999E-2</v>
          </cell>
          <cell r="J1446">
            <v>1.18E-2</v>
          </cell>
        </row>
        <row r="1447">
          <cell r="B1447" t="str">
            <v>LY-027</v>
          </cell>
          <cell r="C1447" t="str">
            <v>ESP</v>
          </cell>
          <cell r="D1447">
            <v>44837</v>
          </cell>
          <cell r="E1447">
            <v>0.5854166666666667</v>
          </cell>
          <cell r="F1447">
            <v>1.7600000000000001E-2</v>
          </cell>
          <cell r="G1447"/>
          <cell r="H1447">
            <v>4.2900000000000001E-2</v>
          </cell>
          <cell r="I1447">
            <v>8.4099999999999994E-2</v>
          </cell>
          <cell r="J1447">
            <v>1.7899999999999999E-2</v>
          </cell>
        </row>
        <row r="1448">
          <cell r="B1448" t="str">
            <v>CL-180</v>
          </cell>
          <cell r="C1448" t="str">
            <v>ESP</v>
          </cell>
          <cell r="D1448">
            <v>44838</v>
          </cell>
          <cell r="E1448">
            <v>0.36319444444444443</v>
          </cell>
          <cell r="F1448">
            <v>2.4199999999999999E-2</v>
          </cell>
          <cell r="G1448"/>
          <cell r="H1448">
            <v>0.12659999999999999</v>
          </cell>
          <cell r="I1448">
            <v>7.0900000000000005E-2</v>
          </cell>
          <cell r="J1448">
            <v>1.9400000000000001E-2</v>
          </cell>
        </row>
        <row r="1449">
          <cell r="B1449" t="str">
            <v>LY-040</v>
          </cell>
          <cell r="C1449" t="str">
            <v>ESP</v>
          </cell>
          <cell r="D1449">
            <v>44838</v>
          </cell>
          <cell r="E1449">
            <v>0.36805555555555558</v>
          </cell>
          <cell r="F1449">
            <v>3.9699999999999999E-2</v>
          </cell>
          <cell r="G1449"/>
          <cell r="H1449">
            <v>0.1371</v>
          </cell>
          <cell r="I1449">
            <v>5.5199999999999999E-2</v>
          </cell>
          <cell r="J1449">
            <v>3.39E-2</v>
          </cell>
        </row>
        <row r="1450">
          <cell r="B1450" t="str">
            <v>LY-175</v>
          </cell>
          <cell r="C1450" t="str">
            <v>ESP</v>
          </cell>
          <cell r="D1450">
            <v>44838</v>
          </cell>
          <cell r="E1450">
            <v>0.57638888888888895</v>
          </cell>
          <cell r="F1450">
            <v>2.7099999999999999E-2</v>
          </cell>
          <cell r="G1450"/>
          <cell r="H1450">
            <v>5.4199999999999998E-2</v>
          </cell>
          <cell r="I1450">
            <v>2.93E-2</v>
          </cell>
          <cell r="J1450">
            <v>2.8199999999999999E-2</v>
          </cell>
        </row>
        <row r="1451">
          <cell r="B1451" t="str">
            <v>LY-251</v>
          </cell>
          <cell r="C1451" t="str">
            <v>ESP</v>
          </cell>
          <cell r="D1451">
            <v>44838</v>
          </cell>
          <cell r="E1451">
            <v>0.58888888888888891</v>
          </cell>
          <cell r="F1451">
            <v>2.7699999999999999E-2</v>
          </cell>
          <cell r="G1451"/>
          <cell r="H1451">
            <v>9.9500000000000005E-2</v>
          </cell>
          <cell r="I1451">
            <v>7.3700000000000002E-2</v>
          </cell>
          <cell r="J1451">
            <v>2.9399999999999999E-2</v>
          </cell>
        </row>
        <row r="1452">
          <cell r="B1452" t="str">
            <v>LY-175</v>
          </cell>
          <cell r="C1452" t="str">
            <v>ESP</v>
          </cell>
          <cell r="D1452">
            <v>44840</v>
          </cell>
          <cell r="E1452" t="str">
            <v>8.06</v>
          </cell>
          <cell r="F1452">
            <v>2.23E-2</v>
          </cell>
          <cell r="G1452"/>
          <cell r="H1452">
            <v>1.23E-2</v>
          </cell>
          <cell r="I1452">
            <v>1.2999999999999999E-2</v>
          </cell>
          <cell r="J1452">
            <v>2.23E-2</v>
          </cell>
        </row>
        <row r="1453">
          <cell r="B1453" t="str">
            <v>LY-251</v>
          </cell>
          <cell r="C1453" t="str">
            <v>ESP</v>
          </cell>
          <cell r="D1453">
            <v>44840</v>
          </cell>
          <cell r="E1453">
            <v>0.30902777777777779</v>
          </cell>
          <cell r="F1453">
            <v>6.4199999999999993E-2</v>
          </cell>
          <cell r="G1453"/>
          <cell r="H1453">
            <v>0.13389999999999999</v>
          </cell>
          <cell r="I1453">
            <v>8.8099999999999998E-2</v>
          </cell>
          <cell r="J1453">
            <v>4.6399999999999997E-2</v>
          </cell>
        </row>
        <row r="1454">
          <cell r="B1454" t="str">
            <v>LY-188</v>
          </cell>
          <cell r="C1454" t="str">
            <v>ESP</v>
          </cell>
          <cell r="D1454">
            <v>44840</v>
          </cell>
          <cell r="E1454">
            <v>0.38194444444444442</v>
          </cell>
          <cell r="F1454">
            <v>2.3999999999999998E-3</v>
          </cell>
          <cell r="G1454"/>
          <cell r="H1454">
            <v>1.4E-3</v>
          </cell>
          <cell r="I1454">
            <v>5.1999999999999998E-3</v>
          </cell>
          <cell r="J1454">
            <v>7.3000000000000001E-3</v>
          </cell>
        </row>
        <row r="1455">
          <cell r="B1455" t="str">
            <v>LY-228</v>
          </cell>
          <cell r="C1455" t="str">
            <v>ESP</v>
          </cell>
          <cell r="D1455">
            <v>44840</v>
          </cell>
          <cell r="E1455">
            <v>0.37291666666666662</v>
          </cell>
          <cell r="F1455">
            <v>3.0999999999999999E-3</v>
          </cell>
          <cell r="G1455"/>
          <cell r="H1455">
            <v>2.2200000000000001E-2</v>
          </cell>
          <cell r="I1455">
            <v>4.4299999999999999E-2</v>
          </cell>
          <cell r="J1455">
            <v>1.6199999999999999E-2</v>
          </cell>
        </row>
        <row r="1456">
          <cell r="B1456" t="str">
            <v>LY-240</v>
          </cell>
          <cell r="C1456" t="str">
            <v>ESP</v>
          </cell>
          <cell r="D1456">
            <v>44840</v>
          </cell>
          <cell r="E1456">
            <v>0.5854166666666667</v>
          </cell>
          <cell r="F1456">
            <v>2.3999999999999998E-3</v>
          </cell>
          <cell r="G1456"/>
          <cell r="H1456">
            <v>2.3400000000000001E-2</v>
          </cell>
          <cell r="I1456">
            <v>1.72E-2</v>
          </cell>
          <cell r="J1456">
            <v>3.5700000000000003E-2</v>
          </cell>
        </row>
        <row r="1457">
          <cell r="B1457" t="str">
            <v>LY-242</v>
          </cell>
          <cell r="C1457" t="str">
            <v>ESP</v>
          </cell>
          <cell r="D1457">
            <v>44840</v>
          </cell>
          <cell r="E1457">
            <v>0.57152777777777775</v>
          </cell>
          <cell r="F1457">
            <v>2.5399999999999999E-2</v>
          </cell>
          <cell r="G1457"/>
          <cell r="H1457">
            <v>1.18E-2</v>
          </cell>
          <cell r="I1457">
            <v>1.47E-2</v>
          </cell>
          <cell r="J1457">
            <v>8.5000000000000006E-3</v>
          </cell>
        </row>
        <row r="1458">
          <cell r="B1458" t="str">
            <v>LY-273</v>
          </cell>
          <cell r="C1458" t="str">
            <v>ESP</v>
          </cell>
          <cell r="D1458">
            <v>44841</v>
          </cell>
          <cell r="E1458">
            <v>0.37638888888888888</v>
          </cell>
          <cell r="F1458">
            <v>9.1000000000000004E-3</v>
          </cell>
          <cell r="G1458"/>
          <cell r="H1458">
            <v>3.0000000000000001E-3</v>
          </cell>
          <cell r="I1458">
            <v>1.32E-2</v>
          </cell>
          <cell r="J1458">
            <v>1.1299999999999999E-2</v>
          </cell>
        </row>
        <row r="1459">
          <cell r="B1459" t="str">
            <v>LY-147</v>
          </cell>
          <cell r="C1459" t="str">
            <v>ESP</v>
          </cell>
          <cell r="D1459">
            <v>44841</v>
          </cell>
          <cell r="E1459">
            <v>0.38194444444444442</v>
          </cell>
          <cell r="F1459">
            <v>6.1999999999999998E-3</v>
          </cell>
          <cell r="G1459"/>
          <cell r="H1459">
            <v>5.3E-3</v>
          </cell>
          <cell r="I1459">
            <v>1.3899999999999999E-2</v>
          </cell>
          <cell r="J1459">
            <v>1.6E-2</v>
          </cell>
        </row>
        <row r="1460">
          <cell r="B1460" t="str">
            <v>LY-164</v>
          </cell>
          <cell r="C1460" t="str">
            <v>ESP</v>
          </cell>
          <cell r="D1460">
            <v>44841</v>
          </cell>
          <cell r="E1460">
            <v>0.57777777777777783</v>
          </cell>
          <cell r="F1460">
            <v>4.1999999999999997E-3</v>
          </cell>
          <cell r="G1460"/>
          <cell r="H1460">
            <v>4.7999999999999996E-3</v>
          </cell>
          <cell r="I1460">
            <v>1.2E-2</v>
          </cell>
          <cell r="J1460">
            <v>1.0200000000000001E-2</v>
          </cell>
        </row>
        <row r="1461">
          <cell r="B1461" t="str">
            <v>LY-288</v>
          </cell>
          <cell r="C1461" t="str">
            <v>ESP</v>
          </cell>
          <cell r="D1461">
            <v>44841</v>
          </cell>
          <cell r="E1461">
            <v>0.57638888888888895</v>
          </cell>
          <cell r="F1461">
            <v>4.4000000000000003E-3</v>
          </cell>
          <cell r="G1461"/>
          <cell r="H1461">
            <v>5.3E-3</v>
          </cell>
          <cell r="I1461">
            <v>1.6299999999999999E-2</v>
          </cell>
          <cell r="J1461">
            <v>1.0999999999999999E-2</v>
          </cell>
        </row>
        <row r="1462">
          <cell r="B1462" t="str">
            <v>LY-075</v>
          </cell>
          <cell r="C1462" t="str">
            <v>ESP</v>
          </cell>
          <cell r="D1462">
            <v>44844</v>
          </cell>
          <cell r="E1462">
            <v>0.37013888888888885</v>
          </cell>
          <cell r="F1462">
            <v>2.1000000000000001E-2</v>
          </cell>
          <cell r="G1462"/>
          <cell r="H1462">
            <v>0.2082</v>
          </cell>
          <cell r="I1462">
            <v>0.57150000000000001</v>
          </cell>
          <cell r="J1462">
            <v>0.14319999999999999</v>
          </cell>
        </row>
        <row r="1463">
          <cell r="B1463" t="str">
            <v>LY-214</v>
          </cell>
          <cell r="C1463" t="str">
            <v>ESP</v>
          </cell>
          <cell r="D1463">
            <v>44844</v>
          </cell>
          <cell r="E1463">
            <v>0.37777777777777777</v>
          </cell>
          <cell r="F1463">
            <v>8.9999999999999993E-3</v>
          </cell>
          <cell r="G1463"/>
          <cell r="H1463">
            <v>1.29E-2</v>
          </cell>
          <cell r="I1463">
            <v>1.21E-2</v>
          </cell>
          <cell r="J1463">
            <v>8.3000000000000001E-3</v>
          </cell>
        </row>
        <row r="1464">
          <cell r="B1464" t="str">
            <v>MN-101</v>
          </cell>
          <cell r="C1464" t="str">
            <v>BM</v>
          </cell>
          <cell r="D1464">
            <v>44844</v>
          </cell>
          <cell r="E1464">
            <v>0.58750000000000002</v>
          </cell>
          <cell r="F1464">
            <v>7.1000000000000004E-3</v>
          </cell>
          <cell r="G1464"/>
          <cell r="H1464">
            <v>2.46E-2</v>
          </cell>
          <cell r="I1464">
            <v>6.5000000000000002E-2</v>
          </cell>
          <cell r="J1464">
            <v>0.151</v>
          </cell>
        </row>
        <row r="1465">
          <cell r="B1465" t="str">
            <v>CY-66</v>
          </cell>
          <cell r="C1465" t="str">
            <v>ESP</v>
          </cell>
          <cell r="D1465">
            <v>44844</v>
          </cell>
          <cell r="E1465">
            <v>0.57638888888888895</v>
          </cell>
          <cell r="F1465">
            <v>4.9000000000000002E-2</v>
          </cell>
          <cell r="G1465"/>
          <cell r="H1465">
            <v>6.0999999999999999E-2</v>
          </cell>
          <cell r="I1465">
            <v>0.1087</v>
          </cell>
          <cell r="J1465">
            <v>3.7600000000000001E-2</v>
          </cell>
        </row>
        <row r="1466">
          <cell r="B1466" t="str">
            <v>LY-015</v>
          </cell>
          <cell r="C1466" t="str">
            <v>ESP</v>
          </cell>
          <cell r="D1466">
            <v>44845</v>
          </cell>
          <cell r="E1466">
            <v>0.34930555555555554</v>
          </cell>
          <cell r="F1466">
            <v>0.33100000000000002</v>
          </cell>
          <cell r="G1466"/>
          <cell r="H1466">
            <v>0.97609999999999997</v>
          </cell>
          <cell r="I1466">
            <v>1.0611999999999999</v>
          </cell>
          <cell r="J1466">
            <v>0.16800000000000001</v>
          </cell>
        </row>
        <row r="1467">
          <cell r="B1467" t="str">
            <v>LY-298</v>
          </cell>
          <cell r="C1467" t="str">
            <v>ESP</v>
          </cell>
          <cell r="D1467">
            <v>44845</v>
          </cell>
          <cell r="E1467">
            <v>0.36249999999999999</v>
          </cell>
          <cell r="F1467">
            <v>6.7999999999999996E-3</v>
          </cell>
          <cell r="G1467"/>
          <cell r="H1467">
            <v>2.9000000000000001E-2</v>
          </cell>
          <cell r="I1467">
            <v>0.21279999999999999</v>
          </cell>
          <cell r="J1467">
            <v>0.1114</v>
          </cell>
        </row>
        <row r="1468">
          <cell r="B1468" t="str">
            <v>MN-55</v>
          </cell>
          <cell r="C1468" t="str">
            <v>ESP</v>
          </cell>
          <cell r="D1468">
            <v>44845</v>
          </cell>
          <cell r="E1468">
            <v>0.57986111111111105</v>
          </cell>
          <cell r="F1468">
            <v>2.5399999999999999E-2</v>
          </cell>
          <cell r="G1468"/>
          <cell r="H1468">
            <v>5.8700000000000002E-2</v>
          </cell>
          <cell r="I1468">
            <v>0.16309999999999999</v>
          </cell>
          <cell r="J1468">
            <v>0.12620000000000001</v>
          </cell>
        </row>
        <row r="1469">
          <cell r="B1469" t="str">
            <v>MN-56</v>
          </cell>
          <cell r="C1469" t="str">
            <v>ESP</v>
          </cell>
          <cell r="D1469">
            <v>44845</v>
          </cell>
          <cell r="E1469">
            <v>0.57986111111111105</v>
          </cell>
          <cell r="F1469">
            <v>1.0800000000000001E-2</v>
          </cell>
          <cell r="G1469"/>
          <cell r="H1469">
            <v>2.6200000000000001E-2</v>
          </cell>
          <cell r="I1469">
            <v>4.2500000000000003E-2</v>
          </cell>
          <cell r="J1469">
            <v>2.8000000000000001E-2</v>
          </cell>
        </row>
        <row r="1470">
          <cell r="B1470" t="str">
            <v>LY-217</v>
          </cell>
          <cell r="C1470" t="str">
            <v>ESP</v>
          </cell>
          <cell r="D1470">
            <v>44846</v>
          </cell>
          <cell r="E1470">
            <v>0.34166666666666662</v>
          </cell>
          <cell r="F1470">
            <v>1.03E-2</v>
          </cell>
          <cell r="G1470"/>
          <cell r="H1470">
            <v>1.0500000000000001E-2</v>
          </cell>
          <cell r="I1470">
            <v>3.2800000000000003E-2</v>
          </cell>
          <cell r="J1470">
            <v>2.06E-2</v>
          </cell>
        </row>
        <row r="1471">
          <cell r="B1471" t="str">
            <v>LY-087</v>
          </cell>
          <cell r="C1471" t="str">
            <v>ESP</v>
          </cell>
          <cell r="D1471">
            <v>44846</v>
          </cell>
          <cell r="E1471">
            <v>0.34027777777777773</v>
          </cell>
          <cell r="F1471">
            <v>7.4000000000000003E-3</v>
          </cell>
          <cell r="G1471"/>
          <cell r="H1471">
            <v>3.8E-3</v>
          </cell>
          <cell r="I1471">
            <v>1.2800000000000001E-2</v>
          </cell>
          <cell r="J1471">
            <v>1.6E-2</v>
          </cell>
        </row>
        <row r="1472">
          <cell r="B1472" t="str">
            <v>LY-059</v>
          </cell>
          <cell r="C1472" t="str">
            <v>ESP</v>
          </cell>
          <cell r="D1472">
            <v>44846</v>
          </cell>
          <cell r="E1472">
            <v>0.57708333333333328</v>
          </cell>
          <cell r="F1472">
            <v>1.5E-3</v>
          </cell>
          <cell r="G1472"/>
          <cell r="H1472">
            <v>4.4999999999999997E-3</v>
          </cell>
          <cell r="I1472">
            <v>2.53E-2</v>
          </cell>
          <cell r="J1472">
            <v>1.7999999999999999E-2</v>
          </cell>
        </row>
        <row r="1473">
          <cell r="B1473" t="str">
            <v>LY-128</v>
          </cell>
          <cell r="C1473" t="str">
            <v>ESP</v>
          </cell>
          <cell r="D1473">
            <v>44846</v>
          </cell>
          <cell r="E1473">
            <v>0.56944444444444442</v>
          </cell>
          <cell r="F1473">
            <v>1.29E-2</v>
          </cell>
          <cell r="G1473"/>
          <cell r="H1473">
            <v>2.92E-2</v>
          </cell>
          <cell r="I1473">
            <v>3.8100000000000002E-2</v>
          </cell>
          <cell r="J1473">
            <v>1.84E-2</v>
          </cell>
        </row>
        <row r="1474">
          <cell r="B1474" t="str">
            <v>LY-265</v>
          </cell>
          <cell r="C1474" t="str">
            <v>ESP</v>
          </cell>
          <cell r="D1474">
            <v>44847</v>
          </cell>
          <cell r="E1474">
            <v>0.3263888888888889</v>
          </cell>
          <cell r="F1474">
            <v>9.7000000000000003E-3</v>
          </cell>
          <cell r="G1474"/>
          <cell r="H1474">
            <v>1.8499999999999999E-2</v>
          </cell>
          <cell r="I1474">
            <v>3.49E-2</v>
          </cell>
          <cell r="J1474">
            <v>2.3099999999999999E-2</v>
          </cell>
        </row>
        <row r="1475">
          <cell r="B1475" t="str">
            <v>LY-096</v>
          </cell>
          <cell r="C1475" t="str">
            <v>ESP</v>
          </cell>
          <cell r="D1475">
            <v>44847</v>
          </cell>
          <cell r="E1475">
            <v>0.34583333333333338</v>
          </cell>
          <cell r="F1475">
            <v>1.0999999999999999E-2</v>
          </cell>
          <cell r="G1475"/>
          <cell r="H1475">
            <v>0.01</v>
          </cell>
          <cell r="I1475">
            <v>1.1299999999999999E-2</v>
          </cell>
          <cell r="J1475">
            <v>8.3999999999999995E-3</v>
          </cell>
        </row>
        <row r="1476">
          <cell r="B1476" t="str">
            <v>LY-298</v>
          </cell>
          <cell r="C1476" t="str">
            <v>ESP</v>
          </cell>
          <cell r="D1476">
            <v>44847</v>
          </cell>
          <cell r="E1476">
            <v>0.58333333333333337</v>
          </cell>
          <cell r="F1476">
            <v>0.02</v>
          </cell>
          <cell r="G1476"/>
          <cell r="H1476">
            <v>8.14E-2</v>
          </cell>
          <cell r="I1476">
            <v>0.25559999999999999</v>
          </cell>
          <cell r="J1476">
            <v>0.1527</v>
          </cell>
        </row>
        <row r="1477">
          <cell r="B1477" t="str">
            <v>MN-25</v>
          </cell>
          <cell r="C1477" t="str">
            <v>ESP</v>
          </cell>
          <cell r="D1477">
            <v>44847</v>
          </cell>
          <cell r="E1477">
            <v>0.57291666666666663</v>
          </cell>
          <cell r="F1477">
            <v>5.8999999999999999E-3</v>
          </cell>
          <cell r="G1477"/>
          <cell r="H1477">
            <v>1.34E-2</v>
          </cell>
          <cell r="I1477">
            <v>4.9399999999999999E-2</v>
          </cell>
          <cell r="J1477">
            <v>0.37980000000000003</v>
          </cell>
        </row>
        <row r="1478">
          <cell r="B1478" t="str">
            <v>MN-50</v>
          </cell>
          <cell r="C1478" t="str">
            <v>ESP</v>
          </cell>
          <cell r="D1478">
            <v>44848</v>
          </cell>
          <cell r="E1478">
            <v>0.33333333333333331</v>
          </cell>
          <cell r="F1478">
            <v>5.3E-3</v>
          </cell>
          <cell r="G1478"/>
          <cell r="H1478">
            <v>7.9000000000000008E-3</v>
          </cell>
          <cell r="I1478">
            <v>5.28E-2</v>
          </cell>
          <cell r="J1478">
            <v>0.10390000000000001</v>
          </cell>
        </row>
        <row r="1479">
          <cell r="B1479" t="str">
            <v>LY-298</v>
          </cell>
          <cell r="C1479" t="str">
            <v>ESP</v>
          </cell>
          <cell r="D1479">
            <v>44849</v>
          </cell>
          <cell r="E1479">
            <v>0.32500000000000001</v>
          </cell>
          <cell r="F1479">
            <v>1.38E-2</v>
          </cell>
          <cell r="G1479"/>
          <cell r="H1479">
            <v>0.1188</v>
          </cell>
          <cell r="I1479">
            <v>0.3705</v>
          </cell>
          <cell r="J1479">
            <v>0.18840000000000001</v>
          </cell>
        </row>
        <row r="1480">
          <cell r="B1480" t="str">
            <v>MN-50</v>
          </cell>
          <cell r="C1480" t="str">
            <v>ESP</v>
          </cell>
          <cell r="D1480">
            <v>44849</v>
          </cell>
          <cell r="E1480">
            <v>0.30208333333333331</v>
          </cell>
          <cell r="F1480">
            <v>5.3E-3</v>
          </cell>
          <cell r="G1480"/>
          <cell r="H1480">
            <v>7.9000000000000008E-3</v>
          </cell>
          <cell r="I1480">
            <v>5.28E-2</v>
          </cell>
          <cell r="J1480">
            <v>0.10390000000000001</v>
          </cell>
        </row>
        <row r="1481">
          <cell r="B1481" t="str">
            <v>CY-91</v>
          </cell>
          <cell r="C1481" t="str">
            <v>ESP</v>
          </cell>
          <cell r="D1481">
            <v>44852</v>
          </cell>
          <cell r="E1481">
            <v>0.35069444444444442</v>
          </cell>
          <cell r="F1481">
            <v>2.2200000000000001E-2</v>
          </cell>
          <cell r="G1481"/>
          <cell r="H1481">
            <v>1.1599999999999999E-2</v>
          </cell>
          <cell r="I1481">
            <v>0.19470000000000001</v>
          </cell>
          <cell r="J1481">
            <v>4.6199999999999998E-2</v>
          </cell>
        </row>
        <row r="1482">
          <cell r="B1482" t="str">
            <v>MN-101</v>
          </cell>
          <cell r="C1482" t="str">
            <v>ESP</v>
          </cell>
          <cell r="D1482">
            <v>44852</v>
          </cell>
          <cell r="E1482">
            <v>0.3611111111111111</v>
          </cell>
          <cell r="F1482">
            <v>3.6999999999999998E-2</v>
          </cell>
          <cell r="G1482"/>
          <cell r="H1482">
            <v>8.0799999999999997E-2</v>
          </cell>
          <cell r="I1482">
            <v>0.29199999999999998</v>
          </cell>
          <cell r="J1482">
            <v>0.36890000000000001</v>
          </cell>
        </row>
        <row r="1483">
          <cell r="B1483" t="str">
            <v>LY-298</v>
          </cell>
          <cell r="C1483" t="str">
            <v>ESP</v>
          </cell>
          <cell r="D1483">
            <v>44852</v>
          </cell>
          <cell r="E1483">
            <v>0.59027777777777779</v>
          </cell>
          <cell r="F1483">
            <v>3.0800000000000001E-2</v>
          </cell>
          <cell r="G1483"/>
          <cell r="H1483">
            <v>3.0499999999999999E-2</v>
          </cell>
          <cell r="I1483">
            <v>0.34649999999999997</v>
          </cell>
          <cell r="J1483">
            <v>0.1011</v>
          </cell>
        </row>
        <row r="1484">
          <cell r="B1484" t="str">
            <v>MN-25</v>
          </cell>
          <cell r="C1484" t="str">
            <v>ESP</v>
          </cell>
          <cell r="D1484">
            <v>44852</v>
          </cell>
          <cell r="E1484">
            <v>0.57847222222222217</v>
          </cell>
          <cell r="F1484">
            <v>5.5999999999999999E-3</v>
          </cell>
          <cell r="G1484"/>
          <cell r="H1484">
            <v>1.7999999999999999E-2</v>
          </cell>
          <cell r="I1484">
            <v>0.3619</v>
          </cell>
          <cell r="J1484">
            <v>1.1942999999999999</v>
          </cell>
        </row>
        <row r="1485">
          <cell r="B1485" t="str">
            <v>LY-297</v>
          </cell>
          <cell r="C1485" t="str">
            <v>ESP</v>
          </cell>
          <cell r="D1485">
            <v>44853</v>
          </cell>
          <cell r="E1485">
            <v>0.3576388888888889</v>
          </cell>
          <cell r="F1485">
            <v>8.6E-3</v>
          </cell>
          <cell r="G1485"/>
          <cell r="H1485">
            <v>3.5999999999999999E-3</v>
          </cell>
          <cell r="I1485">
            <v>3.8600000000000002E-2</v>
          </cell>
          <cell r="J1485">
            <v>0.1053</v>
          </cell>
        </row>
        <row r="1486">
          <cell r="B1486" t="str">
            <v>MN-56</v>
          </cell>
          <cell r="C1486" t="str">
            <v>ESP</v>
          </cell>
          <cell r="D1486">
            <v>44853</v>
          </cell>
          <cell r="E1486">
            <v>0.34375</v>
          </cell>
          <cell r="F1486">
            <v>2.2499999999999999E-2</v>
          </cell>
          <cell r="G1486"/>
          <cell r="H1486">
            <v>1.3899999999999999E-2</v>
          </cell>
          <cell r="I1486">
            <v>2.1000000000000001E-2</v>
          </cell>
          <cell r="J1486">
            <v>2.1499999999999998E-2</v>
          </cell>
        </row>
        <row r="1487">
          <cell r="B1487" t="str">
            <v>LY-290</v>
          </cell>
          <cell r="C1487" t="str">
            <v>ESP</v>
          </cell>
          <cell r="D1487">
            <v>44853</v>
          </cell>
          <cell r="E1487">
            <v>0.56944444444444442</v>
          </cell>
          <cell r="F1487">
            <v>5.3E-3</v>
          </cell>
          <cell r="G1487"/>
          <cell r="H1487">
            <v>9.4999999999999998E-3</v>
          </cell>
          <cell r="I1487">
            <v>2.58E-2</v>
          </cell>
          <cell r="J1487">
            <v>2.4899999999999999E-2</v>
          </cell>
        </row>
        <row r="1488">
          <cell r="B1488" t="str">
            <v>LY-158</v>
          </cell>
          <cell r="C1488" t="str">
            <v>ESP</v>
          </cell>
          <cell r="D1488">
            <v>44853</v>
          </cell>
          <cell r="E1488">
            <v>0.5756944444444444</v>
          </cell>
          <cell r="F1488">
            <v>4.7000000000000002E-3</v>
          </cell>
          <cell r="G1488"/>
          <cell r="H1488">
            <v>5.7999999999999996E-3</v>
          </cell>
          <cell r="I1488">
            <v>2.1100000000000001E-2</v>
          </cell>
          <cell r="J1488">
            <v>5.3800000000000001E-2</v>
          </cell>
        </row>
        <row r="1489">
          <cell r="B1489" t="str">
            <v>MN-25</v>
          </cell>
          <cell r="C1489" t="str">
            <v>ESP</v>
          </cell>
          <cell r="D1489">
            <v>44854</v>
          </cell>
          <cell r="E1489">
            <v>0.43402777777777773</v>
          </cell>
          <cell r="F1489">
            <v>2.7000000000000001E-3</v>
          </cell>
          <cell r="G1489"/>
          <cell r="H1489">
            <v>1.04E-2</v>
          </cell>
          <cell r="I1489">
            <v>6.2E-2</v>
          </cell>
          <cell r="J1489">
            <v>0.18640000000000001</v>
          </cell>
        </row>
        <row r="1490">
          <cell r="B1490" t="str">
            <v>LY-298</v>
          </cell>
          <cell r="C1490" t="str">
            <v>ESP</v>
          </cell>
          <cell r="D1490">
            <v>44854</v>
          </cell>
          <cell r="E1490">
            <v>0.42222222222222222</v>
          </cell>
          <cell r="F1490">
            <v>8.3000000000000001E-3</v>
          </cell>
          <cell r="G1490"/>
          <cell r="H1490">
            <v>1.89E-2</v>
          </cell>
          <cell r="I1490">
            <v>5.2999999999999999E-2</v>
          </cell>
          <cell r="J1490">
            <v>7.6499999999999999E-2</v>
          </cell>
        </row>
        <row r="1491">
          <cell r="B1491" t="str">
            <v>LY-030</v>
          </cell>
          <cell r="C1491" t="str">
            <v>ESP</v>
          </cell>
          <cell r="D1491">
            <v>44855</v>
          </cell>
          <cell r="E1491">
            <v>0.34375</v>
          </cell>
          <cell r="F1491">
            <v>1.3899999999999999E-2</v>
          </cell>
          <cell r="G1491"/>
          <cell r="H1491">
            <v>2.8899999999999999E-2</v>
          </cell>
          <cell r="I1491">
            <v>4.6899999999999997E-2</v>
          </cell>
          <cell r="J1491">
            <v>9.4100000000000003E-2</v>
          </cell>
        </row>
        <row r="1492">
          <cell r="B1492" t="str">
            <v>LY-058</v>
          </cell>
          <cell r="C1492" t="str">
            <v>ESP</v>
          </cell>
          <cell r="D1492">
            <v>44855</v>
          </cell>
          <cell r="E1492">
            <v>0.36249999999999999</v>
          </cell>
          <cell r="F1492">
            <v>2.7000000000000001E-3</v>
          </cell>
          <cell r="G1492"/>
          <cell r="H1492">
            <v>6.4000000000000003E-3</v>
          </cell>
          <cell r="I1492">
            <v>3.5999999999999997E-2</v>
          </cell>
          <cell r="J1492">
            <v>7.3599999999999999E-2</v>
          </cell>
        </row>
        <row r="1493">
          <cell r="B1493" t="str">
            <v>MN-68ST</v>
          </cell>
          <cell r="C1493" t="str">
            <v>ESP</v>
          </cell>
          <cell r="D1493">
            <v>44855</v>
          </cell>
          <cell r="E1493">
            <v>0.5708333333333333</v>
          </cell>
          <cell r="F1493">
            <v>6.7000000000000002E-3</v>
          </cell>
          <cell r="G1493"/>
          <cell r="H1493">
            <v>1.24E-2</v>
          </cell>
          <cell r="I1493">
            <v>3.5999999999999997E-2</v>
          </cell>
          <cell r="J1493">
            <v>4.5699999999999998E-2</v>
          </cell>
        </row>
        <row r="1494">
          <cell r="B1494" t="str">
            <v>MN-74</v>
          </cell>
          <cell r="C1494" t="str">
            <v>ESP</v>
          </cell>
          <cell r="D1494">
            <v>44855</v>
          </cell>
          <cell r="E1494">
            <v>0.57638888888888895</v>
          </cell>
          <cell r="F1494">
            <v>1.04E-2</v>
          </cell>
          <cell r="G1494"/>
          <cell r="H1494">
            <v>1.9300000000000001E-2</v>
          </cell>
          <cell r="I1494">
            <v>2.8199999999999999E-2</v>
          </cell>
          <cell r="J1494">
            <v>1.9099999999999999E-2</v>
          </cell>
        </row>
        <row r="1495">
          <cell r="B1495" t="str">
            <v>MN-58</v>
          </cell>
          <cell r="C1495" t="str">
            <v>ESP</v>
          </cell>
          <cell r="D1495">
            <v>44858</v>
          </cell>
          <cell r="E1495">
            <v>0.34583333333333338</v>
          </cell>
          <cell r="F1495">
            <v>1E-3</v>
          </cell>
          <cell r="G1495"/>
          <cell r="H1495">
            <v>2.2000000000000001E-3</v>
          </cell>
          <cell r="I1495">
            <v>1.17E-2</v>
          </cell>
          <cell r="J1495">
            <v>1.6299999999999999E-2</v>
          </cell>
        </row>
        <row r="1496">
          <cell r="B1496" t="str">
            <v>MN-40</v>
          </cell>
          <cell r="C1496" t="str">
            <v>ESP</v>
          </cell>
          <cell r="D1496">
            <v>44858</v>
          </cell>
          <cell r="E1496">
            <v>0.36527777777777781</v>
          </cell>
          <cell r="F1496">
            <v>3.8999999999999998E-3</v>
          </cell>
          <cell r="G1496"/>
          <cell r="H1496">
            <v>1.2200000000000001E-2</v>
          </cell>
          <cell r="I1496">
            <v>1.6199999999999999E-2</v>
          </cell>
          <cell r="J1496">
            <v>2.0400000000000001E-2</v>
          </cell>
        </row>
        <row r="1497">
          <cell r="B1497" t="str">
            <v>MN-25</v>
          </cell>
          <cell r="C1497" t="str">
            <v>ESP</v>
          </cell>
          <cell r="D1497">
            <v>44858</v>
          </cell>
          <cell r="E1497">
            <v>0.56597222222222221</v>
          </cell>
          <cell r="F1497">
            <v>1E-3</v>
          </cell>
          <cell r="G1497"/>
          <cell r="H1497">
            <v>2.2000000000000001E-3</v>
          </cell>
          <cell r="I1497">
            <v>1.17E-2</v>
          </cell>
          <cell r="J1497">
            <v>1.6299999999999999E-2</v>
          </cell>
        </row>
        <row r="1498">
          <cell r="B1498" t="str">
            <v>LY-298</v>
          </cell>
          <cell r="C1498" t="str">
            <v>ESP</v>
          </cell>
          <cell r="D1498">
            <v>44858</v>
          </cell>
          <cell r="E1498">
            <v>0.58124999999999993</v>
          </cell>
          <cell r="F1498">
            <v>3.8999999999999998E-3</v>
          </cell>
          <cell r="G1498"/>
          <cell r="H1498">
            <v>1.2200000000000001E-2</v>
          </cell>
          <cell r="I1498">
            <v>1.6199999999999999E-2</v>
          </cell>
          <cell r="J1498">
            <v>2.0400000000000001E-2</v>
          </cell>
        </row>
        <row r="1499">
          <cell r="B1499" t="str">
            <v>MN-25</v>
          </cell>
          <cell r="C1499" t="str">
            <v>ESP</v>
          </cell>
          <cell r="D1499">
            <v>44859</v>
          </cell>
          <cell r="E1499">
            <v>0.36180555555555555</v>
          </cell>
          <cell r="F1499">
            <v>2.46E-2</v>
          </cell>
          <cell r="G1499"/>
          <cell r="H1499">
            <v>5.04E-2</v>
          </cell>
          <cell r="I1499">
            <v>2.0604</v>
          </cell>
          <cell r="J1499">
            <v>2.109</v>
          </cell>
        </row>
        <row r="1500">
          <cell r="B1500" t="str">
            <v>MN-101</v>
          </cell>
          <cell r="C1500" t="str">
            <v>BM</v>
          </cell>
          <cell r="D1500">
            <v>44859</v>
          </cell>
          <cell r="E1500">
            <v>0.375</v>
          </cell>
          <cell r="F1500">
            <v>9.7999999999999997E-3</v>
          </cell>
          <cell r="G1500"/>
          <cell r="H1500">
            <v>2.3599999999999999E-2</v>
          </cell>
          <cell r="I1500">
            <v>0.71260000000000001</v>
          </cell>
          <cell r="J1500">
            <v>1.2806999999999999</v>
          </cell>
        </row>
        <row r="1501">
          <cell r="B1501" t="str">
            <v>MN-25</v>
          </cell>
          <cell r="C1501" t="str">
            <v>ESP</v>
          </cell>
          <cell r="D1501">
            <v>44860</v>
          </cell>
          <cell r="E1501">
            <v>0.35972222222222222</v>
          </cell>
          <cell r="F1501">
            <v>6.2300000000000001E-2</v>
          </cell>
          <cell r="G1501"/>
          <cell r="H1501">
            <v>0.1517</v>
          </cell>
          <cell r="I1501">
            <v>2.0219</v>
          </cell>
          <cell r="J1501">
            <v>1.6185</v>
          </cell>
        </row>
        <row r="1502">
          <cell r="B1502" t="str">
            <v>MN-101</v>
          </cell>
          <cell r="C1502" t="str">
            <v>BM</v>
          </cell>
          <cell r="D1502">
            <v>44860</v>
          </cell>
          <cell r="E1502">
            <v>0.34722222222222227</v>
          </cell>
          <cell r="F1502">
            <v>5.8500000000000003E-2</v>
          </cell>
          <cell r="G1502"/>
          <cell r="H1502">
            <v>6.1600000000000002E-2</v>
          </cell>
          <cell r="I1502">
            <v>0.98180000000000001</v>
          </cell>
          <cell r="J1502">
            <v>0.58560000000000001</v>
          </cell>
        </row>
        <row r="1503">
          <cell r="B1503" t="str">
            <v>MN-25</v>
          </cell>
          <cell r="C1503" t="str">
            <v>ESP</v>
          </cell>
          <cell r="D1503">
            <v>44861</v>
          </cell>
          <cell r="E1503">
            <v>0.36458333333333331</v>
          </cell>
          <cell r="F1503">
            <v>2.24E-2</v>
          </cell>
          <cell r="G1503"/>
          <cell r="H1503">
            <v>9.5699999999999993E-2</v>
          </cell>
          <cell r="I1503">
            <v>5.3044000000000002</v>
          </cell>
          <cell r="J1503">
            <v>1.9822</v>
          </cell>
        </row>
        <row r="1504">
          <cell r="B1504" t="str">
            <v>MN-101</v>
          </cell>
          <cell r="C1504" t="str">
            <v>BM</v>
          </cell>
          <cell r="D1504">
            <v>44861</v>
          </cell>
          <cell r="E1504">
            <v>0.35000000000000003</v>
          </cell>
          <cell r="F1504">
            <v>1.7999999999999999E-2</v>
          </cell>
          <cell r="G1504"/>
          <cell r="H1504">
            <v>2.58E-2</v>
          </cell>
          <cell r="I1504">
            <v>0.50849999999999995</v>
          </cell>
          <cell r="J1504">
            <v>0.47949999999999998</v>
          </cell>
        </row>
        <row r="1505">
          <cell r="B1505" t="str">
            <v>MN-101</v>
          </cell>
          <cell r="C1505" t="str">
            <v>BM</v>
          </cell>
          <cell r="D1505">
            <v>44862</v>
          </cell>
          <cell r="E1505">
            <v>0.34513888888888888</v>
          </cell>
          <cell r="F1505">
            <v>2.5000000000000001E-3</v>
          </cell>
          <cell r="G1505"/>
          <cell r="H1505">
            <v>3.5000000000000001E-3</v>
          </cell>
          <cell r="I1505">
            <v>0.15060000000000001</v>
          </cell>
          <cell r="J1505">
            <v>0.39910000000000001</v>
          </cell>
        </row>
        <row r="1506">
          <cell r="B1506" t="str">
            <v>MN-25</v>
          </cell>
          <cell r="C1506" t="str">
            <v>ESP</v>
          </cell>
          <cell r="D1506">
            <v>44862</v>
          </cell>
          <cell r="E1506">
            <v>0.35833333333333334</v>
          </cell>
          <cell r="F1506">
            <v>2.0299999999999999E-2</v>
          </cell>
          <cell r="G1506"/>
          <cell r="H1506">
            <v>0.43769999999999998</v>
          </cell>
          <cell r="I1506">
            <v>2.0194999999999999</v>
          </cell>
          <cell r="J1506">
            <v>1.0448</v>
          </cell>
        </row>
        <row r="1507">
          <cell r="B1507" t="str">
            <v>LY-298</v>
          </cell>
          <cell r="C1507" t="str">
            <v>ESP</v>
          </cell>
          <cell r="D1507">
            <v>44865</v>
          </cell>
          <cell r="E1507">
            <v>0.3576388888888889</v>
          </cell>
          <cell r="F1507">
            <v>5.4800000000000001E-2</v>
          </cell>
          <cell r="G1507"/>
          <cell r="H1507">
            <v>0.29709999999999998</v>
          </cell>
          <cell r="I1507">
            <v>2.3915000000000002</v>
          </cell>
          <cell r="J1507">
            <v>0.74339999999999995</v>
          </cell>
        </row>
        <row r="1508">
          <cell r="B1508" t="str">
            <v>MN-72</v>
          </cell>
          <cell r="C1508" t="str">
            <v>ESP</v>
          </cell>
          <cell r="D1508">
            <v>44865</v>
          </cell>
          <cell r="E1508">
            <v>0.40486111111111112</v>
          </cell>
          <cell r="F1508">
            <v>1.7299999999999999E-2</v>
          </cell>
          <cell r="G1508"/>
          <cell r="H1508">
            <v>4.07E-2</v>
          </cell>
          <cell r="I1508">
            <v>0.27450000000000002</v>
          </cell>
          <cell r="J1508">
            <v>0.21029999999999999</v>
          </cell>
        </row>
        <row r="1509">
          <cell r="B1509" t="str">
            <v>LY-298</v>
          </cell>
          <cell r="C1509" t="str">
            <v>ESP</v>
          </cell>
          <cell r="D1509">
            <v>44866</v>
          </cell>
          <cell r="E1509">
            <v>0.34375</v>
          </cell>
          <cell r="F1509">
            <v>6.2700000000000006E-2</v>
          </cell>
          <cell r="G1509"/>
          <cell r="H1509">
            <v>0.1477</v>
          </cell>
          <cell r="I1509">
            <v>1.8907</v>
          </cell>
          <cell r="J1509">
            <v>0.62909999999999999</v>
          </cell>
        </row>
        <row r="1510">
          <cell r="B1510" t="str">
            <v>MN-72</v>
          </cell>
          <cell r="C1510" t="str">
            <v>ESP</v>
          </cell>
          <cell r="D1510">
            <v>44866</v>
          </cell>
          <cell r="E1510">
            <v>0.35069444444444442</v>
          </cell>
          <cell r="F1510">
            <v>2.7099999999999999E-2</v>
          </cell>
          <cell r="G1510"/>
          <cell r="H1510">
            <v>0.1157</v>
          </cell>
          <cell r="I1510">
            <v>0.80369999999999997</v>
          </cell>
          <cell r="J1510">
            <v>0.32490000000000002</v>
          </cell>
        </row>
        <row r="1511">
          <cell r="B1511" t="str">
            <v>CL-36</v>
          </cell>
          <cell r="C1511" t="str">
            <v>ESP</v>
          </cell>
          <cell r="D1511">
            <v>44867</v>
          </cell>
          <cell r="E1511">
            <v>0.40277777777777773</v>
          </cell>
          <cell r="F1511">
            <v>1.2E-2</v>
          </cell>
          <cell r="G1511"/>
          <cell r="H1511">
            <v>3.2599999999999997E-2</v>
          </cell>
          <cell r="I1511">
            <v>0.20130000000000001</v>
          </cell>
          <cell r="J1511">
            <v>9.2700000000000005E-2</v>
          </cell>
        </row>
        <row r="1512">
          <cell r="B1512" t="str">
            <v>LY-121</v>
          </cell>
          <cell r="C1512" t="str">
            <v>ESP</v>
          </cell>
          <cell r="D1512">
            <v>44867</v>
          </cell>
          <cell r="E1512">
            <v>0.36458333333333331</v>
          </cell>
          <cell r="F1512">
            <v>1.83E-2</v>
          </cell>
          <cell r="G1512"/>
          <cell r="H1512">
            <v>5.8299999999999998E-2</v>
          </cell>
          <cell r="I1512">
            <v>1.7171000000000001</v>
          </cell>
          <cell r="J1512">
            <v>1.1214</v>
          </cell>
        </row>
        <row r="1513">
          <cell r="B1513" t="str">
            <v>CL-34</v>
          </cell>
          <cell r="C1513" t="str">
            <v>BM</v>
          </cell>
          <cell r="D1513">
            <v>44867</v>
          </cell>
          <cell r="E1513">
            <v>0.59375</v>
          </cell>
          <cell r="F1513">
            <v>4.7100000000000003E-2</v>
          </cell>
          <cell r="G1513"/>
          <cell r="H1513">
            <v>3.8199999999999998E-2</v>
          </cell>
          <cell r="I1513">
            <v>7.7499999999999999E-2</v>
          </cell>
          <cell r="J1513">
            <v>3.8899999999999997E-2</v>
          </cell>
        </row>
        <row r="1514">
          <cell r="B1514" t="str">
            <v>MN-25</v>
          </cell>
          <cell r="C1514" t="str">
            <v>ESP</v>
          </cell>
          <cell r="D1514">
            <v>44868</v>
          </cell>
          <cell r="E1514">
            <v>0.36805555555555558</v>
          </cell>
          <cell r="F1514">
            <v>1.35E-2</v>
          </cell>
          <cell r="G1514"/>
          <cell r="H1514">
            <v>0.2137</v>
          </cell>
          <cell r="I1514">
            <v>0.95950000000000002</v>
          </cell>
          <cell r="J1514">
            <v>0.3695</v>
          </cell>
        </row>
        <row r="1515">
          <cell r="B1515" t="str">
            <v>LY-121</v>
          </cell>
          <cell r="C1515" t="str">
            <v>ESP</v>
          </cell>
          <cell r="D1515">
            <v>44868</v>
          </cell>
          <cell r="E1515">
            <v>0.31111111111111112</v>
          </cell>
          <cell r="F1515">
            <v>2.3599999999999999E-2</v>
          </cell>
          <cell r="G1515"/>
          <cell r="H1515">
            <v>6.4699999999999994E-2</v>
          </cell>
          <cell r="I1515">
            <v>1.0205</v>
          </cell>
          <cell r="J1515">
            <v>0.88070000000000004</v>
          </cell>
        </row>
        <row r="1516">
          <cell r="B1516" t="str">
            <v>LY-218</v>
          </cell>
          <cell r="C1516" t="str">
            <v>ESP</v>
          </cell>
          <cell r="D1516">
            <v>44868</v>
          </cell>
          <cell r="E1516">
            <v>0.59027777777777779</v>
          </cell>
          <cell r="F1516">
            <v>4.4000000000000003E-3</v>
          </cell>
          <cell r="G1516"/>
          <cell r="H1516">
            <v>1.7000000000000001E-2</v>
          </cell>
          <cell r="I1516">
            <v>0.13800000000000001</v>
          </cell>
          <cell r="J1516">
            <v>6.7299999999999999E-2</v>
          </cell>
        </row>
        <row r="1517">
          <cell r="B1517" t="str">
            <v>LY-285</v>
          </cell>
          <cell r="C1517" t="str">
            <v>ESP</v>
          </cell>
          <cell r="D1517">
            <v>44869</v>
          </cell>
          <cell r="E1517">
            <v>0.34375</v>
          </cell>
          <cell r="F1517">
            <v>4.7000000000000002E-3</v>
          </cell>
          <cell r="G1517"/>
          <cell r="H1517">
            <v>1.09E-2</v>
          </cell>
          <cell r="I1517">
            <v>8.77E-2</v>
          </cell>
          <cell r="J1517">
            <v>5.6800000000000003E-2</v>
          </cell>
        </row>
        <row r="1518">
          <cell r="B1518" t="str">
            <v>LY-116</v>
          </cell>
          <cell r="C1518" t="str">
            <v>ESP</v>
          </cell>
          <cell r="D1518">
            <v>44869</v>
          </cell>
          <cell r="E1518">
            <v>0.34722222222222227</v>
          </cell>
          <cell r="F1518">
            <v>2.23E-2</v>
          </cell>
          <cell r="G1518"/>
          <cell r="H1518">
            <v>3.3799999999999997E-2</v>
          </cell>
          <cell r="I1518">
            <v>5.9200000000000003E-2</v>
          </cell>
          <cell r="J1518">
            <v>4.2700000000000002E-2</v>
          </cell>
        </row>
        <row r="1519">
          <cell r="B1519" t="str">
            <v>LY-280</v>
          </cell>
          <cell r="C1519" t="str">
            <v>ESP</v>
          </cell>
          <cell r="D1519">
            <v>44869</v>
          </cell>
          <cell r="E1519">
            <v>0.57291666666666663</v>
          </cell>
          <cell r="F1519">
            <v>1.11E-2</v>
          </cell>
          <cell r="G1519"/>
          <cell r="H1519">
            <v>1.3599999999999999E-2</v>
          </cell>
          <cell r="I1519">
            <v>3.2300000000000002E-2</v>
          </cell>
          <cell r="J1519">
            <v>1.9099999999999999E-2</v>
          </cell>
        </row>
        <row r="1520">
          <cell r="B1520" t="str">
            <v>LY-123</v>
          </cell>
          <cell r="C1520" t="str">
            <v>ESP</v>
          </cell>
          <cell r="D1520">
            <v>44869</v>
          </cell>
          <cell r="E1520">
            <v>0.58333333333333337</v>
          </cell>
          <cell r="F1520">
            <v>1.1900000000000001E-2</v>
          </cell>
          <cell r="G1520"/>
          <cell r="H1520">
            <v>5.0999999999999997E-2</v>
          </cell>
          <cell r="I1520">
            <v>7.1499999999999994E-2</v>
          </cell>
          <cell r="J1520">
            <v>3.3700000000000001E-2</v>
          </cell>
        </row>
        <row r="1521">
          <cell r="B1521" t="str">
            <v>CL-48</v>
          </cell>
          <cell r="C1521" t="str">
            <v>ESP</v>
          </cell>
          <cell r="D1521">
            <v>44873</v>
          </cell>
          <cell r="E1521">
            <v>0.34375</v>
          </cell>
          <cell r="F1521">
            <v>0.21709999999999999</v>
          </cell>
          <cell r="G1521"/>
          <cell r="H1521">
            <v>0.1883</v>
          </cell>
          <cell r="I1521">
            <v>0.18290000000000001</v>
          </cell>
          <cell r="J1521">
            <v>0.1721</v>
          </cell>
        </row>
        <row r="1522">
          <cell r="B1522" t="str">
            <v>RD-16</v>
          </cell>
          <cell r="C1522" t="str">
            <v>ESP</v>
          </cell>
          <cell r="D1522">
            <v>44873</v>
          </cell>
          <cell r="E1522">
            <v>0.375</v>
          </cell>
          <cell r="F1522">
            <v>1.01E-2</v>
          </cell>
          <cell r="G1522"/>
          <cell r="H1522">
            <v>0.39550000000000002</v>
          </cell>
          <cell r="I1522">
            <v>2.1581000000000001</v>
          </cell>
          <cell r="J1522">
            <v>0.71399999999999997</v>
          </cell>
        </row>
        <row r="1523">
          <cell r="B1523" t="str">
            <v>LY-299</v>
          </cell>
          <cell r="C1523" t="str">
            <v>ESP</v>
          </cell>
          <cell r="D1523">
            <v>44873</v>
          </cell>
          <cell r="E1523">
            <v>0.625</v>
          </cell>
          <cell r="F1523">
            <v>5.4000000000000003E-3</v>
          </cell>
          <cell r="G1523"/>
          <cell r="H1523">
            <v>1.1900000000000001E-2</v>
          </cell>
          <cell r="I1523">
            <v>2.8799999999999999E-2</v>
          </cell>
          <cell r="J1523">
            <v>3.61E-2</v>
          </cell>
        </row>
        <row r="1524">
          <cell r="B1524" t="str">
            <v>LY-183</v>
          </cell>
          <cell r="C1524" t="str">
            <v>ESP</v>
          </cell>
          <cell r="D1524">
            <v>44873</v>
          </cell>
          <cell r="E1524">
            <v>0.60625000000000007</v>
          </cell>
          <cell r="F1524">
            <v>7.7999999999999996E-3</v>
          </cell>
          <cell r="G1524"/>
          <cell r="H1524">
            <v>2.3900000000000001E-2</v>
          </cell>
          <cell r="I1524">
            <v>0.96299999999999997</v>
          </cell>
          <cell r="J1524">
            <v>0.68659999999999999</v>
          </cell>
        </row>
        <row r="1525">
          <cell r="B1525" t="str">
            <v>LY-150</v>
          </cell>
          <cell r="C1525" t="str">
            <v>ESP</v>
          </cell>
          <cell r="D1525">
            <v>44874</v>
          </cell>
          <cell r="E1525">
            <v>0.36458333333333331</v>
          </cell>
          <cell r="F1525">
            <v>7.1999999999999998E-3</v>
          </cell>
          <cell r="G1525"/>
          <cell r="H1525">
            <v>2.81E-2</v>
          </cell>
          <cell r="I1525">
            <v>0.19089999999999999</v>
          </cell>
          <cell r="J1525">
            <v>0.18590000000000001</v>
          </cell>
        </row>
        <row r="1526">
          <cell r="B1526" t="str">
            <v>LY-203</v>
          </cell>
          <cell r="C1526" t="str">
            <v>ESP</v>
          </cell>
          <cell r="D1526">
            <v>44874</v>
          </cell>
          <cell r="E1526">
            <v>0.37152777777777773</v>
          </cell>
          <cell r="F1526">
            <v>1.9800000000000002E-2</v>
          </cell>
          <cell r="G1526"/>
          <cell r="H1526">
            <v>0.1225</v>
          </cell>
          <cell r="I1526">
            <v>0.1426</v>
          </cell>
          <cell r="J1526">
            <v>5.4899999999999997E-2</v>
          </cell>
        </row>
        <row r="1527">
          <cell r="B1527" t="str">
            <v>REX-06</v>
          </cell>
          <cell r="C1527" t="str">
            <v>ESP</v>
          </cell>
          <cell r="D1527">
            <v>44875</v>
          </cell>
          <cell r="E1527">
            <v>0.40972222222222227</v>
          </cell>
          <cell r="F1527">
            <v>5.4999999999999997E-3</v>
          </cell>
          <cell r="G1527"/>
          <cell r="H1527">
            <v>1.4500000000000001E-2</v>
          </cell>
          <cell r="I1527">
            <v>5.0299999999999997E-2</v>
          </cell>
          <cell r="J1527">
            <v>4.1099999999999998E-2</v>
          </cell>
        </row>
        <row r="1528">
          <cell r="B1528" t="str">
            <v>CO GN-01</v>
          </cell>
          <cell r="C1528" t="str">
            <v>ESP</v>
          </cell>
          <cell r="D1528">
            <v>44875</v>
          </cell>
          <cell r="E1528">
            <v>0.44791666666666669</v>
          </cell>
          <cell r="F1528">
            <v>1.84E-2</v>
          </cell>
          <cell r="G1528"/>
          <cell r="H1528">
            <v>1.0500000000000001E-2</v>
          </cell>
          <cell r="I1528">
            <v>3.5200000000000002E-2</v>
          </cell>
          <cell r="J1528">
            <v>1.5699999999999999E-2</v>
          </cell>
        </row>
        <row r="1529">
          <cell r="B1529" t="str">
            <v>REX-NE-04</v>
          </cell>
          <cell r="C1529" t="str">
            <v>ESP</v>
          </cell>
          <cell r="D1529">
            <v>44876</v>
          </cell>
          <cell r="E1529">
            <v>0.30555555555555552</v>
          </cell>
          <cell r="F1529">
            <v>4.4999999999999997E-3</v>
          </cell>
          <cell r="G1529"/>
          <cell r="H1529">
            <v>5.1000000000000004E-3</v>
          </cell>
          <cell r="I1529">
            <v>2.3400000000000001E-2</v>
          </cell>
          <cell r="J1529">
            <v>1.2999999999999999E-2</v>
          </cell>
        </row>
        <row r="1530">
          <cell r="B1530" t="str">
            <v>CO G-14</v>
          </cell>
          <cell r="C1530" t="str">
            <v>ESP</v>
          </cell>
          <cell r="D1530">
            <v>44876</v>
          </cell>
          <cell r="E1530">
            <v>0.33680555555555558</v>
          </cell>
          <cell r="F1530">
            <v>5.8999999999999999E-3</v>
          </cell>
          <cell r="G1530"/>
          <cell r="H1530">
            <v>7.1000000000000004E-3</v>
          </cell>
          <cell r="I1530">
            <v>9.9000000000000008E-3</v>
          </cell>
          <cell r="J1530">
            <v>1.2E-2</v>
          </cell>
        </row>
        <row r="1531">
          <cell r="B1531" t="str">
            <v>REX-NE-002</v>
          </cell>
          <cell r="C1531" t="str">
            <v>ESP</v>
          </cell>
          <cell r="D1531">
            <v>44877</v>
          </cell>
          <cell r="E1531">
            <v>0.3430555555555555</v>
          </cell>
          <cell r="F1531">
            <v>7.9000000000000008E-3</v>
          </cell>
          <cell r="G1531"/>
          <cell r="H1531">
            <v>2.1899999999999999E-2</v>
          </cell>
          <cell r="I1531">
            <v>2.9399999999999999E-2</v>
          </cell>
          <cell r="J1531">
            <v>1.1599999999999999E-2</v>
          </cell>
        </row>
        <row r="1532">
          <cell r="B1532" t="str">
            <v>REX-NE-002</v>
          </cell>
          <cell r="C1532" t="str">
            <v>ESP</v>
          </cell>
          <cell r="D1532">
            <v>44880</v>
          </cell>
          <cell r="E1532">
            <v>0.31597222222222221</v>
          </cell>
          <cell r="F1532">
            <v>1.4E-3</v>
          </cell>
          <cell r="G1532"/>
          <cell r="H1532">
            <v>1.5E-3</v>
          </cell>
          <cell r="I1532">
            <v>1.9300000000000001E-2</v>
          </cell>
          <cell r="J1532">
            <v>2.1600000000000001E-2</v>
          </cell>
        </row>
        <row r="1533">
          <cell r="B1533" t="str">
            <v>REX-NE-005ST</v>
          </cell>
          <cell r="C1533" t="str">
            <v>ESP</v>
          </cell>
          <cell r="D1533">
            <v>44877</v>
          </cell>
          <cell r="E1533">
            <v>0.34027777777777773</v>
          </cell>
          <cell r="F1533">
            <v>2.8999999999999998E-3</v>
          </cell>
          <cell r="G1533"/>
          <cell r="H1533">
            <v>5.8999999999999999E-3</v>
          </cell>
          <cell r="I1533">
            <v>2.06E-2</v>
          </cell>
          <cell r="J1533">
            <v>1.09E-2</v>
          </cell>
        </row>
        <row r="1534">
          <cell r="B1534" t="str">
            <v>REX-NE-005ST</v>
          </cell>
          <cell r="C1534" t="str">
            <v>ESP</v>
          </cell>
          <cell r="D1534">
            <v>44880</v>
          </cell>
          <cell r="E1534">
            <v>0.29166666666666669</v>
          </cell>
          <cell r="F1534">
            <v>8.2000000000000007E-3</v>
          </cell>
          <cell r="G1534"/>
          <cell r="H1534">
            <v>1.6199999999999999E-2</v>
          </cell>
          <cell r="I1534">
            <v>4.6399999999999997E-2</v>
          </cell>
          <cell r="J1534">
            <v>1.26E-2</v>
          </cell>
        </row>
        <row r="1535">
          <cell r="B1535" t="str">
            <v>REX-NE-003</v>
          </cell>
          <cell r="C1535" t="str">
            <v>ESP</v>
          </cell>
          <cell r="D1535">
            <v>44880</v>
          </cell>
          <cell r="E1535">
            <v>0.34027777777777773</v>
          </cell>
          <cell r="F1535">
            <v>3.5000000000000001E-3</v>
          </cell>
          <cell r="G1535"/>
          <cell r="H1535">
            <v>5.4000000000000003E-3</v>
          </cell>
          <cell r="I1535">
            <v>5.1700000000000003E-2</v>
          </cell>
          <cell r="J1535">
            <v>3.0300000000000001E-2</v>
          </cell>
        </row>
        <row r="1536">
          <cell r="B1536" t="str">
            <v>CO  Y-004</v>
          </cell>
          <cell r="C1536" t="str">
            <v>ESP</v>
          </cell>
          <cell r="D1536">
            <v>44880</v>
          </cell>
          <cell r="E1536">
            <v>0.44444444444444442</v>
          </cell>
          <cell r="F1536">
            <v>1.5299999999999999E-2</v>
          </cell>
          <cell r="G1536"/>
          <cell r="H1536">
            <v>8.2500000000000004E-2</v>
          </cell>
          <cell r="I1536">
            <v>3.0300000000000001E-2</v>
          </cell>
          <cell r="J1536">
            <v>0.01</v>
          </cell>
        </row>
        <row r="1537">
          <cell r="B1537" t="str">
            <v>CO A</v>
          </cell>
          <cell r="C1537" t="str">
            <v>ESP</v>
          </cell>
          <cell r="D1537">
            <v>44881</v>
          </cell>
          <cell r="E1537">
            <v>0.3888888888888889</v>
          </cell>
          <cell r="F1537">
            <v>5.1000000000000004E-3</v>
          </cell>
          <cell r="G1537"/>
          <cell r="H1537">
            <v>4.3900000000000002E-2</v>
          </cell>
          <cell r="I1537">
            <v>2.8400000000000002E-2</v>
          </cell>
          <cell r="J1537">
            <v>1.5699999999999999E-2</v>
          </cell>
        </row>
        <row r="1538">
          <cell r="B1538" t="str">
            <v>CO CW-001ST</v>
          </cell>
          <cell r="C1538" t="str">
            <v>ESP</v>
          </cell>
          <cell r="D1538">
            <v>44881</v>
          </cell>
          <cell r="E1538">
            <v>0.39583333333333331</v>
          </cell>
          <cell r="F1538">
            <v>3.3999999999999998E-3</v>
          </cell>
          <cell r="G1538"/>
          <cell r="H1538">
            <v>1.1599999999999999E-2</v>
          </cell>
          <cell r="I1538">
            <v>2.18E-2</v>
          </cell>
          <cell r="J1538">
            <v>1.83E-2</v>
          </cell>
        </row>
        <row r="1539">
          <cell r="B1539" t="str">
            <v>CO G-07</v>
          </cell>
          <cell r="C1539" t="str">
            <v>ESP</v>
          </cell>
          <cell r="D1539">
            <v>44882</v>
          </cell>
          <cell r="E1539">
            <v>0.3923611111111111</v>
          </cell>
          <cell r="F1539">
            <v>3.7000000000000002E-3</v>
          </cell>
          <cell r="G1539"/>
          <cell r="H1539">
            <v>5.8999999999999999E-3</v>
          </cell>
          <cell r="I1539">
            <v>2.0299999999999999E-2</v>
          </cell>
          <cell r="J1539">
            <v>7.7000000000000002E-3</v>
          </cell>
        </row>
        <row r="1540">
          <cell r="B1540" t="str">
            <v>CR-14</v>
          </cell>
          <cell r="C1540" t="str">
            <v>ESP</v>
          </cell>
          <cell r="D1540">
            <v>44882</v>
          </cell>
          <cell r="E1540">
            <v>0.41319444444444442</v>
          </cell>
          <cell r="F1540">
            <v>3.5000000000000001E-3</v>
          </cell>
          <cell r="G1540"/>
          <cell r="H1540">
            <v>5.7999999999999996E-3</v>
          </cell>
          <cell r="I1540">
            <v>1.8800000000000001E-2</v>
          </cell>
          <cell r="J1540">
            <v>1.47E-2</v>
          </cell>
        </row>
        <row r="1541">
          <cell r="B1541" t="str">
            <v>CR-11</v>
          </cell>
          <cell r="C1541" t="str">
            <v>ESP</v>
          </cell>
          <cell r="D1541">
            <v>44883</v>
          </cell>
          <cell r="E1541">
            <v>0.34722222222222227</v>
          </cell>
          <cell r="F1541">
            <v>1.4E-3</v>
          </cell>
          <cell r="G1541"/>
          <cell r="H1541">
            <v>4.1000000000000003E-3</v>
          </cell>
          <cell r="I1541">
            <v>1.21E-2</v>
          </cell>
          <cell r="J1541">
            <v>8.0000000000000002E-3</v>
          </cell>
        </row>
        <row r="1542">
          <cell r="B1542" t="str">
            <v>CR-18</v>
          </cell>
          <cell r="C1542" t="str">
            <v>ESP</v>
          </cell>
          <cell r="D1542">
            <v>44883</v>
          </cell>
          <cell r="E1542">
            <v>0.375</v>
          </cell>
          <cell r="F1542">
            <v>2.5999999999999999E-3</v>
          </cell>
          <cell r="G1542"/>
          <cell r="H1542">
            <v>7.6E-3</v>
          </cell>
          <cell r="I1542">
            <v>2.07E-2</v>
          </cell>
          <cell r="J1542">
            <v>9.1999999999999998E-3</v>
          </cell>
        </row>
        <row r="1543">
          <cell r="B1543" t="str">
            <v>CC-10</v>
          </cell>
          <cell r="C1543" t="str">
            <v>ESP</v>
          </cell>
          <cell r="D1543">
            <v>44884</v>
          </cell>
          <cell r="E1543">
            <v>0.3611111111111111</v>
          </cell>
          <cell r="F1543">
            <v>6.8999999999999999E-3</v>
          </cell>
          <cell r="G1543"/>
          <cell r="H1543">
            <v>6.4999999999999997E-3</v>
          </cell>
          <cell r="I1543">
            <v>1.29E-2</v>
          </cell>
          <cell r="J1543">
            <v>9.2999999999999992E-3</v>
          </cell>
        </row>
        <row r="1544">
          <cell r="B1544" t="str">
            <v>CC-12</v>
          </cell>
          <cell r="C1544" t="str">
            <v>ESP</v>
          </cell>
          <cell r="D1544">
            <v>44884</v>
          </cell>
          <cell r="E1544">
            <v>0.37152777777777773</v>
          </cell>
          <cell r="F1544">
            <v>2.8799999999999999E-2</v>
          </cell>
          <cell r="G1544"/>
          <cell r="H1544">
            <v>4.7999999999999996E-3</v>
          </cell>
          <cell r="I1544">
            <v>1.12E-2</v>
          </cell>
          <cell r="J1544">
            <v>7.4999999999999997E-3</v>
          </cell>
        </row>
        <row r="1545">
          <cell r="B1545" t="str">
            <v>CC-10</v>
          </cell>
          <cell r="C1545" t="str">
            <v>ESP</v>
          </cell>
          <cell r="D1545">
            <v>44886</v>
          </cell>
          <cell r="E1545">
            <v>0.32430555555555557</v>
          </cell>
          <cell r="F1545">
            <v>1.9E-3</v>
          </cell>
          <cell r="G1545"/>
          <cell r="H1545">
            <v>8.5000000000000006E-3</v>
          </cell>
          <cell r="I1545">
            <v>7.7999999999999996E-3</v>
          </cell>
          <cell r="J1545">
            <v>1.44E-2</v>
          </cell>
        </row>
        <row r="1546">
          <cell r="B1546" t="str">
            <v>CC-12</v>
          </cell>
          <cell r="C1546" t="str">
            <v>ESP</v>
          </cell>
          <cell r="D1546">
            <v>44886</v>
          </cell>
          <cell r="E1546">
            <v>0.34236111111111112</v>
          </cell>
          <cell r="F1546">
            <v>1.6000000000000001E-3</v>
          </cell>
          <cell r="G1546"/>
          <cell r="H1546">
            <v>5.0000000000000001E-3</v>
          </cell>
          <cell r="I1546">
            <v>8.6E-3</v>
          </cell>
          <cell r="J1546">
            <v>7.6E-3</v>
          </cell>
        </row>
        <row r="1547">
          <cell r="B1547" t="str">
            <v>CC-014</v>
          </cell>
          <cell r="C1547" t="str">
            <v>ESP</v>
          </cell>
          <cell r="D1547">
            <v>44886</v>
          </cell>
          <cell r="E1547">
            <v>0.34930555555555554</v>
          </cell>
          <cell r="F1547">
            <v>4.1000000000000003E-3</v>
          </cell>
          <cell r="G1547"/>
          <cell r="H1547">
            <v>6.8999999999999999E-3</v>
          </cell>
          <cell r="I1547">
            <v>8.8000000000000005E-3</v>
          </cell>
          <cell r="J1547">
            <v>7.9000000000000008E-3</v>
          </cell>
        </row>
        <row r="1548">
          <cell r="B1548" t="str">
            <v>CY-19</v>
          </cell>
          <cell r="C1548" t="str">
            <v>ESP</v>
          </cell>
          <cell r="D1548">
            <v>44887</v>
          </cell>
          <cell r="E1548">
            <v>0.32430555555555557</v>
          </cell>
          <cell r="F1548">
            <v>6.1000000000000004E-3</v>
          </cell>
          <cell r="G1548"/>
          <cell r="H1548">
            <v>1.12E-2</v>
          </cell>
          <cell r="I1548">
            <v>1.4999999999999999E-2</v>
          </cell>
          <cell r="J1548">
            <v>8.3999999999999995E-3</v>
          </cell>
        </row>
        <row r="1549">
          <cell r="B1549" t="str">
            <v>CY-05</v>
          </cell>
          <cell r="C1549" t="str">
            <v>ESP</v>
          </cell>
          <cell r="D1549">
            <v>44887</v>
          </cell>
          <cell r="E1549">
            <v>0.3298611111111111</v>
          </cell>
          <cell r="F1549">
            <v>1.54E-2</v>
          </cell>
          <cell r="G1549"/>
          <cell r="H1549">
            <v>8.1600000000000006E-2</v>
          </cell>
          <cell r="I1549">
            <v>0.1211</v>
          </cell>
          <cell r="J1549">
            <v>9.74E-2</v>
          </cell>
        </row>
        <row r="1550">
          <cell r="B1550" t="str">
            <v>CY-25</v>
          </cell>
          <cell r="C1550" t="str">
            <v>ESP</v>
          </cell>
          <cell r="D1550">
            <v>44887</v>
          </cell>
          <cell r="E1550">
            <v>0.57291666666666663</v>
          </cell>
          <cell r="F1550">
            <v>1.0999999999999999E-2</v>
          </cell>
          <cell r="G1550"/>
          <cell r="H1550">
            <v>2.4299999999999999E-2</v>
          </cell>
          <cell r="I1550">
            <v>1.5100000000000001E-2</v>
          </cell>
          <cell r="J1550">
            <v>1.4200000000000001E-2</v>
          </cell>
        </row>
        <row r="1551">
          <cell r="B1551" t="str">
            <v>MN-07</v>
          </cell>
          <cell r="C1551" t="str">
            <v>ESP</v>
          </cell>
          <cell r="D1551">
            <v>44887</v>
          </cell>
          <cell r="E1551">
            <v>0.58750000000000002</v>
          </cell>
          <cell r="F1551">
            <v>6.7000000000000002E-3</v>
          </cell>
          <cell r="G1551"/>
          <cell r="H1551">
            <v>1.5699999999999999E-2</v>
          </cell>
          <cell r="I1551">
            <v>3.9100000000000003E-2</v>
          </cell>
          <cell r="J1551">
            <v>2.7199999999999998E-2</v>
          </cell>
        </row>
        <row r="1552">
          <cell r="B1552" t="str">
            <v>CL-08</v>
          </cell>
          <cell r="C1552" t="str">
            <v>ESP</v>
          </cell>
          <cell r="D1552">
            <v>44888</v>
          </cell>
          <cell r="E1552">
            <v>0.35625000000000001</v>
          </cell>
          <cell r="F1552">
            <v>1.7899999999999999E-2</v>
          </cell>
          <cell r="G1552"/>
          <cell r="H1552">
            <v>2.0299999999999999E-2</v>
          </cell>
          <cell r="I1552">
            <v>1.43E-2</v>
          </cell>
          <cell r="J1552">
            <v>1.41E-2</v>
          </cell>
        </row>
        <row r="1553">
          <cell r="B1553" t="str">
            <v>LY-062</v>
          </cell>
          <cell r="C1553" t="str">
            <v>ESP</v>
          </cell>
          <cell r="D1553">
            <v>44888</v>
          </cell>
          <cell r="E1553">
            <v>0.3444444444444445</v>
          </cell>
          <cell r="F1553">
            <v>2.0299999999999999E-2</v>
          </cell>
          <cell r="G1553"/>
          <cell r="H1553">
            <v>3.4500000000000003E-2</v>
          </cell>
          <cell r="I1553">
            <v>3.1899999999999998E-2</v>
          </cell>
          <cell r="J1553">
            <v>3.0499999999999999E-2</v>
          </cell>
        </row>
        <row r="1554">
          <cell r="B1554" t="str">
            <v>LY-299</v>
          </cell>
          <cell r="C1554" t="str">
            <v>ESP</v>
          </cell>
          <cell r="D1554">
            <v>44888</v>
          </cell>
          <cell r="E1554">
            <v>0.58750000000000002</v>
          </cell>
          <cell r="F1554">
            <v>1.1900000000000001E-2</v>
          </cell>
          <cell r="G1554"/>
          <cell r="H1554">
            <v>8.3999999999999995E-3</v>
          </cell>
          <cell r="I1554">
            <v>1.8599999999999998E-2</v>
          </cell>
          <cell r="J1554">
            <v>1.6299999999999999E-2</v>
          </cell>
        </row>
        <row r="1555">
          <cell r="B1555" t="str">
            <v>LY-296</v>
          </cell>
          <cell r="C1555" t="str">
            <v>ESP</v>
          </cell>
          <cell r="D1555">
            <v>44888</v>
          </cell>
          <cell r="E1555">
            <v>0.59722222222222221</v>
          </cell>
          <cell r="F1555">
            <v>2.29E-2</v>
          </cell>
          <cell r="G1555"/>
          <cell r="H1555">
            <v>1.6400000000000001E-2</v>
          </cell>
          <cell r="I1555">
            <v>0.1198</v>
          </cell>
          <cell r="J1555">
            <v>0.1356</v>
          </cell>
        </row>
        <row r="1556">
          <cell r="B1556" t="str">
            <v>CV-19</v>
          </cell>
          <cell r="C1556" t="str">
            <v>ESP</v>
          </cell>
          <cell r="D1556">
            <v>44889</v>
          </cell>
          <cell r="E1556">
            <v>0.36458333333333331</v>
          </cell>
          <cell r="F1556">
            <v>1.2E-2</v>
          </cell>
          <cell r="G1556"/>
          <cell r="H1556">
            <v>1.6899999999999998E-2</v>
          </cell>
          <cell r="I1556">
            <v>5.6300000000000003E-2</v>
          </cell>
          <cell r="J1556">
            <v>5.91E-2</v>
          </cell>
        </row>
        <row r="1557">
          <cell r="B1557" t="str">
            <v>CV-02</v>
          </cell>
          <cell r="C1557" t="str">
            <v>ESP</v>
          </cell>
          <cell r="D1557">
            <v>44889</v>
          </cell>
          <cell r="E1557">
            <v>0.35902777777777778</v>
          </cell>
          <cell r="F1557">
            <v>0.13869999999999999</v>
          </cell>
          <cell r="G1557"/>
          <cell r="H1557">
            <v>0.1676</v>
          </cell>
          <cell r="I1557">
            <v>5.1400000000000001E-2</v>
          </cell>
          <cell r="J1557">
            <v>1.9900000000000001E-2</v>
          </cell>
        </row>
        <row r="1558">
          <cell r="B1558" t="str">
            <v>LY-074</v>
          </cell>
          <cell r="C1558" t="str">
            <v>ESP</v>
          </cell>
          <cell r="D1558">
            <v>44889</v>
          </cell>
          <cell r="E1558">
            <v>0.58611111111111114</v>
          </cell>
          <cell r="F1558">
            <v>1.0999999999999999E-2</v>
          </cell>
          <cell r="G1558"/>
          <cell r="H1558">
            <v>7.7000000000000002E-3</v>
          </cell>
          <cell r="I1558">
            <v>2.87E-2</v>
          </cell>
          <cell r="J1558">
            <v>8.4500000000000006E-2</v>
          </cell>
        </row>
        <row r="1559">
          <cell r="B1559" t="str">
            <v>LY-251</v>
          </cell>
          <cell r="C1559" t="str">
            <v>ESP</v>
          </cell>
          <cell r="D1559">
            <v>44889</v>
          </cell>
          <cell r="E1559">
            <v>0.59444444444444444</v>
          </cell>
          <cell r="F1559">
            <v>3.1099999999999999E-2</v>
          </cell>
          <cell r="G1559"/>
          <cell r="H1559">
            <v>9.0899999999999995E-2</v>
          </cell>
          <cell r="I1559">
            <v>7.0099999999999996E-2</v>
          </cell>
          <cell r="J1559">
            <v>3.6999999999999998E-2</v>
          </cell>
        </row>
        <row r="1560">
          <cell r="B1560" t="str">
            <v>LY-186</v>
          </cell>
          <cell r="C1560" t="str">
            <v>ESP</v>
          </cell>
          <cell r="D1560">
            <v>44890</v>
          </cell>
          <cell r="E1560">
            <v>0.3263888888888889</v>
          </cell>
          <cell r="F1560">
            <v>1.2E-2</v>
          </cell>
          <cell r="G1560"/>
          <cell r="H1560">
            <v>3.2099999999999997E-2</v>
          </cell>
          <cell r="I1560">
            <v>2.6599999999999999E-2</v>
          </cell>
          <cell r="J1560">
            <v>1.83E-2</v>
          </cell>
        </row>
        <row r="1561">
          <cell r="B1561" t="str">
            <v>LY-233</v>
          </cell>
          <cell r="C1561" t="str">
            <v>ESP</v>
          </cell>
          <cell r="D1561">
            <v>44890</v>
          </cell>
          <cell r="E1561">
            <v>0.34583333333333338</v>
          </cell>
          <cell r="F1561">
            <v>2.8E-3</v>
          </cell>
          <cell r="G1561"/>
          <cell r="H1561">
            <v>9.9000000000000008E-3</v>
          </cell>
          <cell r="I1561">
            <v>3.5200000000000002E-2</v>
          </cell>
          <cell r="J1561">
            <v>2.9600000000000001E-2</v>
          </cell>
        </row>
        <row r="1562">
          <cell r="B1562" t="str">
            <v>LY-153</v>
          </cell>
          <cell r="C1562" t="str">
            <v>ESP</v>
          </cell>
          <cell r="D1562">
            <v>44890</v>
          </cell>
          <cell r="E1562">
            <v>0.55555555555555558</v>
          </cell>
          <cell r="F1562">
            <v>9.4999999999999998E-3</v>
          </cell>
          <cell r="G1562"/>
          <cell r="H1562">
            <v>4.4299999999999999E-2</v>
          </cell>
          <cell r="I1562">
            <v>8.9700000000000002E-2</v>
          </cell>
          <cell r="J1562">
            <v>2.7199999999999998E-2</v>
          </cell>
        </row>
        <row r="1563">
          <cell r="B1563" t="str">
            <v>LY-260</v>
          </cell>
          <cell r="C1563" t="str">
            <v>ESP</v>
          </cell>
          <cell r="D1563">
            <v>44890</v>
          </cell>
          <cell r="E1563">
            <v>0.55902777777777779</v>
          </cell>
          <cell r="F1563">
            <v>5.7000000000000002E-3</v>
          </cell>
          <cell r="G1563"/>
          <cell r="H1563">
            <v>9.1999999999999998E-3</v>
          </cell>
          <cell r="I1563">
            <v>1.6400000000000001E-2</v>
          </cell>
          <cell r="J1563">
            <v>1.3100000000000001E-2</v>
          </cell>
        </row>
        <row r="1564">
          <cell r="B1564" t="str">
            <v>MN-67</v>
          </cell>
          <cell r="C1564" t="str">
            <v>ESP</v>
          </cell>
          <cell r="D1564">
            <v>44893</v>
          </cell>
          <cell r="E1564">
            <v>0.3444444444444445</v>
          </cell>
          <cell r="F1564">
            <v>1.9E-3</v>
          </cell>
          <cell r="G1564">
            <v>7.0000000000000001E-3</v>
          </cell>
          <cell r="H1564">
            <v>7.0000000000000001E-3</v>
          </cell>
          <cell r="I1564">
            <v>2.3199999999999998E-2</v>
          </cell>
          <cell r="J1564">
            <v>1.1900000000000001E-2</v>
          </cell>
        </row>
        <row r="1565">
          <cell r="B1565" t="str">
            <v>MN-08</v>
          </cell>
          <cell r="C1565" t="str">
            <v>ESP</v>
          </cell>
          <cell r="D1565">
            <v>44893</v>
          </cell>
          <cell r="E1565">
            <v>0.34722222222222227</v>
          </cell>
          <cell r="F1565">
            <v>2.7000000000000001E-3</v>
          </cell>
          <cell r="G1565"/>
          <cell r="H1565">
            <v>1.7999999999999999E-2</v>
          </cell>
          <cell r="I1565">
            <v>2.4199999999999999E-2</v>
          </cell>
          <cell r="J1565">
            <v>6.7000000000000002E-3</v>
          </cell>
        </row>
        <row r="1566">
          <cell r="B1566" t="str">
            <v>LY-218</v>
          </cell>
          <cell r="C1566" t="str">
            <v>ESP</v>
          </cell>
          <cell r="D1566">
            <v>44893</v>
          </cell>
          <cell r="E1566">
            <v>0.56944444444444442</v>
          </cell>
          <cell r="F1566">
            <v>1.11E-2</v>
          </cell>
          <cell r="G1566">
            <v>7.0000000000000001E-3</v>
          </cell>
          <cell r="H1566">
            <v>1.9599999999999999E-2</v>
          </cell>
          <cell r="I1566">
            <v>3.1600000000000003E-2</v>
          </cell>
          <cell r="J1566">
            <v>2.1700000000000001E-2</v>
          </cell>
        </row>
        <row r="1567">
          <cell r="B1567" t="str">
            <v>LY-184</v>
          </cell>
          <cell r="C1567" t="str">
            <v>ESP</v>
          </cell>
          <cell r="D1567">
            <v>44893</v>
          </cell>
          <cell r="E1567">
            <v>0.5805555555555556</v>
          </cell>
          <cell r="F1567">
            <v>6.6E-3</v>
          </cell>
          <cell r="G1567"/>
          <cell r="H1567">
            <v>1.12E-2</v>
          </cell>
          <cell r="I1567">
            <v>2.8000000000000001E-2</v>
          </cell>
          <cell r="J1567">
            <v>1.3599999999999999E-2</v>
          </cell>
        </row>
        <row r="1568">
          <cell r="B1568" t="str">
            <v>LY-276</v>
          </cell>
          <cell r="C1568" t="str">
            <v>BM</v>
          </cell>
          <cell r="D1568">
            <v>44894</v>
          </cell>
          <cell r="E1568">
            <v>0.36805555555555558</v>
          </cell>
          <cell r="F1568">
            <v>2.87E-2</v>
          </cell>
          <cell r="G1568">
            <v>7.0000000000000001E-3</v>
          </cell>
          <cell r="H1568">
            <v>4.3200000000000002E-2</v>
          </cell>
          <cell r="I1568">
            <v>8.77E-2</v>
          </cell>
          <cell r="J1568">
            <v>0.29430000000000001</v>
          </cell>
        </row>
        <row r="1569">
          <cell r="B1569" t="str">
            <v>LY-301</v>
          </cell>
          <cell r="C1569" t="str">
            <v>ESP</v>
          </cell>
          <cell r="D1569">
            <v>44894</v>
          </cell>
          <cell r="E1569">
            <v>0.34930555555555554</v>
          </cell>
          <cell r="F1569">
            <v>6.1999999999999998E-3</v>
          </cell>
          <cell r="G1569"/>
          <cell r="H1569">
            <v>0.03</v>
          </cell>
          <cell r="I1569">
            <v>1.67E-2</v>
          </cell>
          <cell r="J1569">
            <v>9.4999999999999998E-3</v>
          </cell>
        </row>
        <row r="1570">
          <cell r="B1570" t="str">
            <v>MN-85</v>
          </cell>
          <cell r="C1570" t="str">
            <v>ESP</v>
          </cell>
          <cell r="D1570">
            <v>44894</v>
          </cell>
          <cell r="E1570">
            <v>0.61458333333333337</v>
          </cell>
          <cell r="F1570">
            <v>7.7999999999999996E-3</v>
          </cell>
          <cell r="G1570"/>
          <cell r="H1570">
            <v>1.5599999999999999E-2</v>
          </cell>
          <cell r="I1570">
            <v>2.1100000000000001E-2</v>
          </cell>
          <cell r="J1570">
            <v>1.2E-2</v>
          </cell>
        </row>
        <row r="1571">
          <cell r="B1571" t="str">
            <v>MN-77ST</v>
          </cell>
          <cell r="C1571" t="str">
            <v>ESP</v>
          </cell>
          <cell r="D1571">
            <v>44895</v>
          </cell>
          <cell r="E1571">
            <v>0.37291666666666662</v>
          </cell>
          <cell r="F1571">
            <v>3.7000000000000002E-3</v>
          </cell>
          <cell r="G1571"/>
          <cell r="H1571">
            <v>9.1000000000000004E-3</v>
          </cell>
          <cell r="I1571">
            <v>9.4999999999999998E-3</v>
          </cell>
          <cell r="J1571">
            <v>1.89E-2</v>
          </cell>
        </row>
        <row r="1572">
          <cell r="B1572" t="str">
            <v>LY-276</v>
          </cell>
          <cell r="C1572" t="str">
            <v>BM</v>
          </cell>
          <cell r="D1572">
            <v>44895</v>
          </cell>
          <cell r="E1572">
            <v>0.32291666666666669</v>
          </cell>
          <cell r="F1572">
            <v>4.8999999999999998E-3</v>
          </cell>
          <cell r="G1572">
            <v>7.0000000000000001E-3</v>
          </cell>
          <cell r="H1572">
            <v>2.07E-2</v>
          </cell>
          <cell r="I1572">
            <v>4.1300000000000003E-2</v>
          </cell>
          <cell r="J1572">
            <v>0.18099999999999999</v>
          </cell>
        </row>
        <row r="1573">
          <cell r="B1573" t="str">
            <v>MN-06</v>
          </cell>
          <cell r="C1573" t="str">
            <v>ESP</v>
          </cell>
          <cell r="D1573">
            <v>44895</v>
          </cell>
          <cell r="E1573">
            <v>0.57361111111111118</v>
          </cell>
          <cell r="F1573">
            <v>4.9099999999999998E-2</v>
          </cell>
          <cell r="G1573"/>
          <cell r="H1573">
            <v>0.17</v>
          </cell>
          <cell r="I1573">
            <v>0.1661</v>
          </cell>
          <cell r="J1573">
            <v>4.7600000000000003E-2</v>
          </cell>
        </row>
        <row r="1574">
          <cell r="B1574" t="str">
            <v>MN-101</v>
          </cell>
          <cell r="C1574" t="str">
            <v>BM</v>
          </cell>
          <cell r="D1574">
            <v>44866</v>
          </cell>
          <cell r="E1574">
            <v>0.3354166666666667</v>
          </cell>
          <cell r="F1574">
            <v>1.18E-2</v>
          </cell>
          <cell r="G1574"/>
          <cell r="H1574">
            <v>3.6299999999999999E-2</v>
          </cell>
          <cell r="I1574">
            <v>7.85E-2</v>
          </cell>
          <cell r="J1574">
            <v>9.3600000000000003E-2</v>
          </cell>
        </row>
        <row r="1575">
          <cell r="B1575" t="str">
            <v>LY-276</v>
          </cell>
          <cell r="C1575" t="str">
            <v>BM</v>
          </cell>
          <cell r="D1575">
            <v>44896</v>
          </cell>
          <cell r="E1575">
            <v>0.3527777777777778</v>
          </cell>
          <cell r="F1575">
            <v>6.1000000000000004E-3</v>
          </cell>
          <cell r="G1575">
            <v>7.0000000000000001E-3</v>
          </cell>
          <cell r="H1575">
            <v>1.9199999999999998E-2</v>
          </cell>
          <cell r="I1575">
            <v>7.0199999999999999E-2</v>
          </cell>
          <cell r="J1575">
            <v>0.28420000000000001</v>
          </cell>
        </row>
        <row r="1576">
          <cell r="B1576" t="str">
            <v>MN-83</v>
          </cell>
          <cell r="C1576" t="str">
            <v>ESP</v>
          </cell>
          <cell r="D1576">
            <v>44866</v>
          </cell>
          <cell r="E1576">
            <v>0.56597222222222221</v>
          </cell>
          <cell r="F1576">
            <v>4.1000000000000003E-3</v>
          </cell>
          <cell r="G1576"/>
          <cell r="H1576">
            <v>1.6500000000000001E-2</v>
          </cell>
          <cell r="I1576">
            <v>2.18E-2</v>
          </cell>
          <cell r="J1576">
            <v>2.46E-2</v>
          </cell>
        </row>
        <row r="1577">
          <cell r="B1577" t="str">
            <v>MN-86</v>
          </cell>
          <cell r="C1577" t="str">
            <v>ESP</v>
          </cell>
          <cell r="D1577">
            <v>44897</v>
          </cell>
          <cell r="E1577">
            <v>0.32777777777777778</v>
          </cell>
          <cell r="F1577">
            <v>0.04</v>
          </cell>
          <cell r="G1577"/>
          <cell r="H1577">
            <v>0.15790000000000001</v>
          </cell>
          <cell r="I1577">
            <v>0.22739999999999999</v>
          </cell>
          <cell r="J1577">
            <v>4.2799999999999998E-2</v>
          </cell>
        </row>
        <row r="1578">
          <cell r="B1578" t="str">
            <v>LY-276</v>
          </cell>
          <cell r="C1578" t="str">
            <v>BM</v>
          </cell>
          <cell r="D1578">
            <v>44897</v>
          </cell>
          <cell r="E1578" t="str">
            <v>8.40</v>
          </cell>
          <cell r="F1578">
            <v>4.4000000000000003E-3</v>
          </cell>
          <cell r="G1578"/>
          <cell r="H1578">
            <v>1.0699999999999999E-2</v>
          </cell>
          <cell r="I1578">
            <v>4.5100000000000001E-2</v>
          </cell>
          <cell r="J1578">
            <v>6.2E-2</v>
          </cell>
        </row>
        <row r="1579">
          <cell r="B1579" t="str">
            <v>MN-99</v>
          </cell>
          <cell r="C1579" t="str">
            <v>ESP</v>
          </cell>
          <cell r="D1579">
            <v>44897</v>
          </cell>
          <cell r="E1579">
            <v>0.56527777777777777</v>
          </cell>
          <cell r="F1579">
            <v>8.3000000000000001E-3</v>
          </cell>
          <cell r="G1579"/>
          <cell r="H1579">
            <v>4.5900000000000003E-2</v>
          </cell>
          <cell r="I1579">
            <v>3.2399999999999998E-2</v>
          </cell>
          <cell r="J1579">
            <v>3.1E-2</v>
          </cell>
        </row>
        <row r="1580">
          <cell r="B1580" t="str">
            <v>CY-51</v>
          </cell>
          <cell r="C1580" t="str">
            <v>ESP</v>
          </cell>
          <cell r="D1580">
            <v>44901</v>
          </cell>
          <cell r="E1580">
            <v>0.33333333333333331</v>
          </cell>
          <cell r="F1580">
            <v>3.0099999999999998E-2</v>
          </cell>
          <cell r="G1580"/>
          <cell r="H1580">
            <v>0.20080000000000001</v>
          </cell>
          <cell r="I1580">
            <v>0.24879999999999999</v>
          </cell>
          <cell r="J1580">
            <v>3.9100000000000003E-2</v>
          </cell>
        </row>
        <row r="1581">
          <cell r="B1581" t="str">
            <v>CL-19</v>
          </cell>
          <cell r="C1581" t="str">
            <v>BM</v>
          </cell>
          <cell r="D1581">
            <v>44901</v>
          </cell>
          <cell r="E1581">
            <v>0.34930555555555554</v>
          </cell>
          <cell r="F1581">
            <v>2.5999999999999999E-3</v>
          </cell>
          <cell r="G1581"/>
          <cell r="H1581">
            <v>9.1000000000000004E-3</v>
          </cell>
          <cell r="I1581">
            <v>1.2800000000000001E-2</v>
          </cell>
          <cell r="J1581">
            <v>2.7199999999999998E-2</v>
          </cell>
        </row>
        <row r="1582">
          <cell r="B1582" t="str">
            <v>CL-19</v>
          </cell>
          <cell r="C1582" t="str">
            <v>BM</v>
          </cell>
          <cell r="D1582">
            <v>44902</v>
          </cell>
          <cell r="E1582">
            <v>0.3576388888888889</v>
          </cell>
          <cell r="F1582">
            <v>3.78E-2</v>
          </cell>
          <cell r="G1582"/>
          <cell r="H1582">
            <v>0.1389</v>
          </cell>
          <cell r="I1582">
            <v>0.109</v>
          </cell>
          <cell r="J1582">
            <v>5.1200000000000002E-2</v>
          </cell>
        </row>
        <row r="1583">
          <cell r="B1583" t="str">
            <v>CL-19</v>
          </cell>
          <cell r="C1583" t="str">
            <v>BM</v>
          </cell>
          <cell r="D1583">
            <v>44904</v>
          </cell>
          <cell r="E1583">
            <v>0.3125</v>
          </cell>
          <cell r="F1583">
            <v>2.4799999999999999E-2</v>
          </cell>
          <cell r="G1583"/>
          <cell r="H1583">
            <v>6.4799999999999996E-2</v>
          </cell>
          <cell r="I1583">
            <v>5.2499999999999998E-2</v>
          </cell>
          <cell r="J1583">
            <v>3.15E-2</v>
          </cell>
        </row>
        <row r="1584">
          <cell r="B1584" t="str">
            <v>CY-51</v>
          </cell>
          <cell r="C1584" t="str">
            <v>ESP</v>
          </cell>
          <cell r="D1584">
            <v>44902</v>
          </cell>
          <cell r="E1584">
            <v>0.5708333333333333</v>
          </cell>
          <cell r="F1584">
            <v>1.6000000000000001E-3</v>
          </cell>
          <cell r="G1584"/>
          <cell r="H1584">
            <v>5.7000000000000002E-3</v>
          </cell>
          <cell r="I1584">
            <v>2.2700000000000001E-2</v>
          </cell>
          <cell r="J1584">
            <v>2.5600000000000001E-2</v>
          </cell>
        </row>
        <row r="1585">
          <cell r="B1585" t="str">
            <v>CY-51</v>
          </cell>
          <cell r="C1585" t="str">
            <v>ESP</v>
          </cell>
          <cell r="D1585">
            <v>44904</v>
          </cell>
          <cell r="E1585">
            <v>0.34027777777777773</v>
          </cell>
          <cell r="F1585">
            <v>2.8299999999999999E-2</v>
          </cell>
          <cell r="G1585"/>
          <cell r="H1585">
            <v>5.5599999999999997E-2</v>
          </cell>
          <cell r="I1585">
            <v>8.6199999999999999E-2</v>
          </cell>
          <cell r="J1585">
            <v>8.6999999999999994E-3</v>
          </cell>
        </row>
        <row r="1586">
          <cell r="B1586" t="str">
            <v>MN-59</v>
          </cell>
          <cell r="C1586" t="str">
            <v>ESP</v>
          </cell>
          <cell r="D1586">
            <v>44904</v>
          </cell>
          <cell r="E1586">
            <v>0.35069444444444442</v>
          </cell>
          <cell r="F1586">
            <v>1.2500000000000001E-2</v>
          </cell>
          <cell r="G1586"/>
          <cell r="H1586">
            <v>3.5700000000000003E-2</v>
          </cell>
          <cell r="I1586">
            <v>0.35320000000000001</v>
          </cell>
          <cell r="J1586">
            <v>0.1321</v>
          </cell>
        </row>
        <row r="1587">
          <cell r="B1587" t="str">
            <v>LY-301</v>
          </cell>
          <cell r="C1587" t="str">
            <v>ESP</v>
          </cell>
          <cell r="D1587">
            <v>44905</v>
          </cell>
          <cell r="E1587">
            <v>0.32291666666666669</v>
          </cell>
          <cell r="F1587">
            <v>3.2099999999999997E-2</v>
          </cell>
          <cell r="G1587"/>
          <cell r="H1587">
            <v>5.4800000000000001E-2</v>
          </cell>
          <cell r="I1587">
            <v>5.4399999999999997E-2</v>
          </cell>
          <cell r="J1587">
            <v>3.7699999999999997E-2</v>
          </cell>
        </row>
        <row r="1588">
          <cell r="B1588" t="str">
            <v>LY-301</v>
          </cell>
          <cell r="C1588" t="str">
            <v>ESP</v>
          </cell>
          <cell r="D1588">
            <v>44906</v>
          </cell>
          <cell r="E1588">
            <v>0.35416666666666669</v>
          </cell>
          <cell r="F1588">
            <v>6.08E-2</v>
          </cell>
          <cell r="G1588"/>
          <cell r="H1588">
            <v>0.1125</v>
          </cell>
          <cell r="I1588">
            <v>0.1009</v>
          </cell>
          <cell r="J1588">
            <v>5.5199999999999999E-2</v>
          </cell>
        </row>
        <row r="1589">
          <cell r="B1589" t="str">
            <v>LY-301</v>
          </cell>
          <cell r="C1589" t="str">
            <v>ESP</v>
          </cell>
          <cell r="D1589">
            <v>44906</v>
          </cell>
          <cell r="E1589">
            <v>0.72222222222222221</v>
          </cell>
          <cell r="F1589">
            <v>7.6E-3</v>
          </cell>
          <cell r="G1589"/>
          <cell r="H1589">
            <v>3.3000000000000002E-2</v>
          </cell>
          <cell r="I1589">
            <v>4.07E-2</v>
          </cell>
          <cell r="J1589">
            <v>2.5999999999999999E-2</v>
          </cell>
        </row>
        <row r="1590">
          <cell r="B1590" t="str">
            <v>LY-68</v>
          </cell>
          <cell r="C1590" t="str">
            <v>ESP</v>
          </cell>
          <cell r="D1590">
            <v>44905</v>
          </cell>
          <cell r="E1590">
            <v>0.35416666666666669</v>
          </cell>
          <cell r="F1590">
            <v>6.2100000000000002E-2</v>
          </cell>
          <cell r="G1590"/>
          <cell r="H1590">
            <v>8.7300000000000003E-2</v>
          </cell>
          <cell r="I1590">
            <v>0.16889999999999999</v>
          </cell>
          <cell r="J1590">
            <v>7.9200000000000007E-2</v>
          </cell>
        </row>
        <row r="1591">
          <cell r="B1591" t="str">
            <v>LY-68</v>
          </cell>
          <cell r="C1591" t="str">
            <v>ESP</v>
          </cell>
          <cell r="D1591">
            <v>44907</v>
          </cell>
          <cell r="E1591">
            <v>0.34027777777777773</v>
          </cell>
          <cell r="F1591">
            <v>3.8800000000000001E-2</v>
          </cell>
          <cell r="G1591"/>
          <cell r="H1591">
            <v>9.7600000000000006E-2</v>
          </cell>
          <cell r="I1591">
            <v>0.29409999999999997</v>
          </cell>
          <cell r="J1591">
            <v>4.4699999999999997E-2</v>
          </cell>
        </row>
        <row r="1592">
          <cell r="B1592" t="str">
            <v>LY-141</v>
          </cell>
          <cell r="C1592" t="str">
            <v>ESP</v>
          </cell>
          <cell r="D1592">
            <v>44907</v>
          </cell>
          <cell r="E1592">
            <v>0.35069444444444442</v>
          </cell>
          <cell r="F1592">
            <v>9.7000000000000003E-3</v>
          </cell>
          <cell r="G1592"/>
          <cell r="H1592">
            <v>2.5100000000000001E-2</v>
          </cell>
          <cell r="I1592">
            <v>5.0299999999999997E-2</v>
          </cell>
          <cell r="J1592">
            <v>1.38E-2</v>
          </cell>
        </row>
        <row r="1593">
          <cell r="B1593" t="str">
            <v>LY-161</v>
          </cell>
          <cell r="C1593" t="str">
            <v>ESP</v>
          </cell>
          <cell r="D1593">
            <v>44907</v>
          </cell>
          <cell r="E1593">
            <v>0.37847222222222227</v>
          </cell>
          <cell r="F1593">
            <v>1.26E-2</v>
          </cell>
          <cell r="G1593"/>
          <cell r="H1593">
            <v>8.3799999999999999E-2</v>
          </cell>
          <cell r="I1593">
            <v>4.07E-2</v>
          </cell>
          <cell r="J1593">
            <v>2.1999999999999999E-2</v>
          </cell>
        </row>
        <row r="1594">
          <cell r="B1594" t="str">
            <v>CY-51</v>
          </cell>
          <cell r="C1594" t="str">
            <v>ESP</v>
          </cell>
          <cell r="D1594">
            <v>44907</v>
          </cell>
          <cell r="E1594">
            <v>0.57638888888888895</v>
          </cell>
          <cell r="F1594">
            <v>0.19700000000000001</v>
          </cell>
          <cell r="G1594"/>
          <cell r="H1594">
            <v>7.5200000000000003E-2</v>
          </cell>
          <cell r="I1594">
            <v>7.3499999999999996E-2</v>
          </cell>
          <cell r="J1594">
            <v>1.3599999999999999E-2</v>
          </cell>
        </row>
        <row r="1595">
          <cell r="B1595" t="str">
            <v>CL-19</v>
          </cell>
          <cell r="C1595" t="str">
            <v>ESP</v>
          </cell>
          <cell r="D1595">
            <v>44907</v>
          </cell>
          <cell r="E1595">
            <v>0.59375</v>
          </cell>
          <cell r="F1595">
            <v>4.41E-2</v>
          </cell>
          <cell r="G1595"/>
          <cell r="H1595">
            <v>3.5799999999999998E-2</v>
          </cell>
          <cell r="I1595">
            <v>3.5499999999999997E-2</v>
          </cell>
          <cell r="J1595">
            <v>2.2599999999999999E-2</v>
          </cell>
        </row>
        <row r="1596">
          <cell r="B1596" t="str">
            <v>REX-006</v>
          </cell>
          <cell r="C1596" t="str">
            <v>ESP</v>
          </cell>
          <cell r="D1596">
            <v>44909</v>
          </cell>
          <cell r="E1596">
            <v>0.33680555555555558</v>
          </cell>
          <cell r="F1596">
            <v>4.3400000000000001E-2</v>
          </cell>
          <cell r="G1596"/>
          <cell r="H1596">
            <v>5.67E-2</v>
          </cell>
          <cell r="I1596">
            <v>0.19520000000000001</v>
          </cell>
          <cell r="J1596">
            <v>0.12520000000000001</v>
          </cell>
        </row>
        <row r="1597">
          <cell r="B1597" t="str">
            <v>REX-NE-005ST</v>
          </cell>
          <cell r="C1597" t="str">
            <v>ESP</v>
          </cell>
          <cell r="D1597">
            <v>44909</v>
          </cell>
          <cell r="E1597">
            <v>0.3430555555555555</v>
          </cell>
          <cell r="F1597">
            <v>9.2600000000000002E-2</v>
          </cell>
          <cell r="G1597"/>
          <cell r="H1597">
            <v>3.3399999999999999E-2</v>
          </cell>
          <cell r="I1597">
            <v>3.56E-2</v>
          </cell>
          <cell r="J1597">
            <v>1.09E-2</v>
          </cell>
        </row>
        <row r="1598">
          <cell r="B1598" t="str">
            <v>REX-NE-004</v>
          </cell>
          <cell r="C1598" t="str">
            <v>ESP</v>
          </cell>
          <cell r="D1598">
            <v>44910</v>
          </cell>
          <cell r="E1598">
            <v>0.33194444444444443</v>
          </cell>
          <cell r="F1598">
            <v>9.4000000000000004E-3</v>
          </cell>
          <cell r="G1598"/>
          <cell r="H1598">
            <v>4.4400000000000002E-2</v>
          </cell>
          <cell r="I1598">
            <v>4.1300000000000003E-2</v>
          </cell>
          <cell r="J1598">
            <v>1.7999999999999999E-2</v>
          </cell>
        </row>
        <row r="1599">
          <cell r="B1599" t="str">
            <v>REX NE-02ST</v>
          </cell>
          <cell r="C1599" t="str">
            <v>ESP</v>
          </cell>
          <cell r="D1599">
            <v>44910</v>
          </cell>
          <cell r="E1599">
            <v>0.33333333333333331</v>
          </cell>
          <cell r="F1599">
            <v>4.6699999999999998E-2</v>
          </cell>
          <cell r="G1599"/>
          <cell r="H1599">
            <v>6.5500000000000003E-2</v>
          </cell>
          <cell r="I1599">
            <v>7.6999999999999999E-2</v>
          </cell>
          <cell r="J1599">
            <v>2.5000000000000001E-2</v>
          </cell>
        </row>
        <row r="1600">
          <cell r="B1600" t="str">
            <v>REX NE-03ST2</v>
          </cell>
          <cell r="C1600" t="str">
            <v>ESP</v>
          </cell>
          <cell r="D1600">
            <v>44910</v>
          </cell>
          <cell r="E1600">
            <v>0.54513888888888895</v>
          </cell>
          <cell r="F1600">
            <v>3.5000000000000001E-3</v>
          </cell>
          <cell r="G1600"/>
          <cell r="H1600">
            <v>1.3100000000000001E-2</v>
          </cell>
          <cell r="I1600">
            <v>3.4000000000000002E-2</v>
          </cell>
          <cell r="J1600">
            <v>7.1999999999999998E-3</v>
          </cell>
        </row>
        <row r="1601">
          <cell r="B1601" t="str">
            <v>REX NE-01ST2</v>
          </cell>
          <cell r="C1601" t="str">
            <v>ESP</v>
          </cell>
          <cell r="D1601">
            <v>44910</v>
          </cell>
          <cell r="E1601">
            <v>0.54861111111111105</v>
          </cell>
          <cell r="F1601">
            <v>5.1999999999999998E-3</v>
          </cell>
          <cell r="G1601"/>
          <cell r="H1601">
            <v>9.1999999999999998E-3</v>
          </cell>
          <cell r="I1601">
            <v>1.41E-2</v>
          </cell>
          <cell r="J1601">
            <v>1.2699999999999999E-2</v>
          </cell>
        </row>
        <row r="1602">
          <cell r="B1602" t="str">
            <v>REX-02</v>
          </cell>
          <cell r="C1602" t="str">
            <v>ESP</v>
          </cell>
          <cell r="D1602">
            <v>44911</v>
          </cell>
          <cell r="E1602">
            <v>0.34722222222222227</v>
          </cell>
          <cell r="F1602">
            <v>1.04E-2</v>
          </cell>
          <cell r="G1602"/>
          <cell r="H1602">
            <v>2.3099999999999999E-2</v>
          </cell>
          <cell r="I1602">
            <v>2.1899999999999999E-2</v>
          </cell>
          <cell r="J1602">
            <v>2.2499999999999999E-2</v>
          </cell>
        </row>
        <row r="1603">
          <cell r="B1603" t="str">
            <v>REX-05</v>
          </cell>
          <cell r="C1603" t="str">
            <v>ESP</v>
          </cell>
          <cell r="D1603">
            <v>44911</v>
          </cell>
          <cell r="E1603">
            <v>0.34375</v>
          </cell>
          <cell r="F1603">
            <v>6.1000000000000004E-3</v>
          </cell>
          <cell r="G1603"/>
          <cell r="H1603">
            <v>1.0999999999999999E-2</v>
          </cell>
          <cell r="I1603">
            <v>1.3100000000000001E-2</v>
          </cell>
          <cell r="J1603">
            <v>1.04E-2</v>
          </cell>
        </row>
        <row r="1604">
          <cell r="B1604" t="str">
            <v>MOY-04</v>
          </cell>
          <cell r="C1604" t="str">
            <v>ESP</v>
          </cell>
          <cell r="D1604">
            <v>44911</v>
          </cell>
          <cell r="E1604">
            <v>0.56944444444444442</v>
          </cell>
          <cell r="F1604">
            <v>4.5999999999999999E-3</v>
          </cell>
          <cell r="G1604"/>
          <cell r="H1604">
            <v>8.6E-3</v>
          </cell>
          <cell r="I1604">
            <v>1.0200000000000001E-2</v>
          </cell>
          <cell r="J1604">
            <v>7.3000000000000001E-3</v>
          </cell>
        </row>
        <row r="1605">
          <cell r="B1605" t="str">
            <v>CR-22</v>
          </cell>
          <cell r="C1605" t="str">
            <v>ESP</v>
          </cell>
          <cell r="D1605">
            <v>44911</v>
          </cell>
          <cell r="E1605">
            <v>0.59027777777777779</v>
          </cell>
          <cell r="F1605">
            <v>5.3E-3</v>
          </cell>
          <cell r="G1605"/>
          <cell r="H1605">
            <v>1.6299999999999999E-2</v>
          </cell>
          <cell r="I1605">
            <v>2.0299999999999999E-2</v>
          </cell>
          <cell r="J1605">
            <v>0.10390000000000001</v>
          </cell>
        </row>
        <row r="1606">
          <cell r="B1606" t="str">
            <v>CR-01</v>
          </cell>
          <cell r="C1606" t="str">
            <v>ESP</v>
          </cell>
          <cell r="D1606">
            <v>44912</v>
          </cell>
          <cell r="E1606">
            <v>0.33333333333333331</v>
          </cell>
          <cell r="F1606">
            <v>3.3E-3</v>
          </cell>
          <cell r="G1606"/>
          <cell r="H1606">
            <v>8.9999999999999993E-3</v>
          </cell>
          <cell r="I1606">
            <v>1.34E-2</v>
          </cell>
          <cell r="J1606">
            <v>2.87E-2</v>
          </cell>
        </row>
        <row r="1607">
          <cell r="B1607" t="str">
            <v>CR-01</v>
          </cell>
          <cell r="C1607" t="str">
            <v>ESP</v>
          </cell>
          <cell r="D1607">
            <v>44914</v>
          </cell>
          <cell r="E1607">
            <v>0.30208333333333331</v>
          </cell>
          <cell r="F1607">
            <v>5.0000000000000001E-3</v>
          </cell>
          <cell r="G1607"/>
          <cell r="H1607">
            <v>1.89E-2</v>
          </cell>
          <cell r="I1607">
            <v>2.53E-2</v>
          </cell>
          <cell r="J1607">
            <v>7.3899999999999993E-2</v>
          </cell>
        </row>
        <row r="1608">
          <cell r="B1608" t="str">
            <v>CAL-01</v>
          </cell>
          <cell r="C1608" t="str">
            <v>ESP</v>
          </cell>
          <cell r="D1608">
            <v>44912</v>
          </cell>
          <cell r="E1608">
            <v>0.35416666666666669</v>
          </cell>
          <cell r="F1608">
            <v>2.46E-2</v>
          </cell>
          <cell r="G1608"/>
          <cell r="H1608">
            <v>0.11269999999999999</v>
          </cell>
          <cell r="I1608">
            <v>0.29139999999999999</v>
          </cell>
          <cell r="J1608">
            <v>0.4889</v>
          </cell>
        </row>
        <row r="1609">
          <cell r="B1609" t="str">
            <v>CAL-01</v>
          </cell>
          <cell r="C1609" t="str">
            <v>ESP</v>
          </cell>
          <cell r="D1609">
            <v>44914</v>
          </cell>
          <cell r="E1609">
            <v>0.33333333333333331</v>
          </cell>
          <cell r="F1609">
            <v>2.3400000000000001E-2</v>
          </cell>
          <cell r="G1609"/>
          <cell r="H1609">
            <v>0.1188</v>
          </cell>
          <cell r="I1609">
            <v>0.1744</v>
          </cell>
          <cell r="J1609">
            <v>9.9699999999999997E-2</v>
          </cell>
        </row>
        <row r="1610">
          <cell r="B1610" t="str">
            <v>CR-18</v>
          </cell>
          <cell r="C1610" t="str">
            <v>ESP</v>
          </cell>
          <cell r="D1610">
            <v>44914</v>
          </cell>
          <cell r="E1610">
            <v>0.375</v>
          </cell>
          <cell r="F1610">
            <v>6.4999999999999997E-3</v>
          </cell>
          <cell r="G1610"/>
          <cell r="H1610">
            <v>1.6299999999999999E-2</v>
          </cell>
          <cell r="I1610">
            <v>2.8199999999999999E-2</v>
          </cell>
          <cell r="J1610">
            <v>2.6599999999999999E-2</v>
          </cell>
        </row>
        <row r="1611">
          <cell r="B1611" t="str">
            <v>CC-07</v>
          </cell>
          <cell r="C1611" t="str">
            <v>ESP</v>
          </cell>
          <cell r="D1611">
            <v>44914</v>
          </cell>
          <cell r="E1611">
            <v>0.3923611111111111</v>
          </cell>
          <cell r="F1611">
            <v>8.9999999999999993E-3</v>
          </cell>
          <cell r="G1611"/>
          <cell r="H1611">
            <v>2.01E-2</v>
          </cell>
          <cell r="I1611">
            <v>1.9E-2</v>
          </cell>
          <cell r="J1611">
            <v>3.6700000000000003E-2</v>
          </cell>
        </row>
        <row r="1612">
          <cell r="B1612" t="str">
            <v>CC-014</v>
          </cell>
          <cell r="C1612" t="str">
            <v>ESP</v>
          </cell>
          <cell r="D1612">
            <v>44914</v>
          </cell>
          <cell r="E1612">
            <v>0.59027777777777779</v>
          </cell>
          <cell r="F1612">
            <v>5.0000000000000001E-3</v>
          </cell>
          <cell r="G1612"/>
          <cell r="H1612">
            <v>9.2999999999999992E-3</v>
          </cell>
          <cell r="I1612">
            <v>1.43E-2</v>
          </cell>
          <cell r="J1612">
            <v>9.2999999999999992E-3</v>
          </cell>
        </row>
        <row r="1613">
          <cell r="B1613" t="str">
            <v>CC-024</v>
          </cell>
          <cell r="C1613" t="str">
            <v>ESP</v>
          </cell>
          <cell r="D1613">
            <v>44914</v>
          </cell>
          <cell r="E1613">
            <v>0.59722222222222221</v>
          </cell>
          <cell r="F1613">
            <v>1.1900000000000001E-2</v>
          </cell>
          <cell r="G1613"/>
          <cell r="H1613">
            <v>3.32E-2</v>
          </cell>
          <cell r="I1613">
            <v>2.4799999999999999E-2</v>
          </cell>
          <cell r="J1613">
            <v>7.5499999999999998E-2</v>
          </cell>
        </row>
        <row r="1614">
          <cell r="B1614" t="str">
            <v>CO GN-01</v>
          </cell>
          <cell r="C1614" t="str">
            <v>ESP</v>
          </cell>
          <cell r="D1614">
            <v>44915</v>
          </cell>
          <cell r="E1614">
            <v>0.40486111111111112</v>
          </cell>
          <cell r="F1614">
            <v>8.0000000000000004E-4</v>
          </cell>
          <cell r="G1614"/>
          <cell r="H1614">
            <v>8.0000000000000002E-3</v>
          </cell>
          <cell r="I1614">
            <v>1.37E-2</v>
          </cell>
          <cell r="J1614">
            <v>6.3E-3</v>
          </cell>
        </row>
        <row r="1615">
          <cell r="B1615" t="str">
            <v>LY-161</v>
          </cell>
          <cell r="C1615" t="str">
            <v>ESP</v>
          </cell>
          <cell r="D1615">
            <v>44916</v>
          </cell>
          <cell r="E1615">
            <v>0.3125</v>
          </cell>
          <cell r="F1615">
            <v>1.2500000000000001E-2</v>
          </cell>
          <cell r="G1615"/>
          <cell r="H1615">
            <v>4.24E-2</v>
          </cell>
          <cell r="I1615">
            <v>3.1199999999999999E-2</v>
          </cell>
          <cell r="J1615">
            <v>1.4999999999999999E-2</v>
          </cell>
        </row>
        <row r="1616">
          <cell r="B1616" t="str">
            <v>LY-141</v>
          </cell>
          <cell r="C1616" t="str">
            <v>ESP</v>
          </cell>
          <cell r="D1616">
            <v>44916</v>
          </cell>
          <cell r="E1616">
            <v>0.32291666666666669</v>
          </cell>
          <cell r="F1616">
            <v>1.5599999999999999E-2</v>
          </cell>
          <cell r="G1616"/>
          <cell r="H1616">
            <v>2.1399999999999999E-2</v>
          </cell>
          <cell r="I1616">
            <v>1.29E-2</v>
          </cell>
          <cell r="J1616">
            <v>1.9900000000000001E-2</v>
          </cell>
        </row>
        <row r="1617">
          <cell r="B1617" t="str">
            <v>CY-74</v>
          </cell>
          <cell r="C1617" t="str">
            <v>ESP</v>
          </cell>
          <cell r="D1617">
            <v>44916</v>
          </cell>
          <cell r="E1617">
            <v>0.56944444444444442</v>
          </cell>
          <cell r="F1617">
            <v>8.6800000000000002E-2</v>
          </cell>
          <cell r="G1617"/>
          <cell r="H1617">
            <v>0.88880000000000003</v>
          </cell>
          <cell r="I1617">
            <v>1.0995999999999999</v>
          </cell>
          <cell r="J1617">
            <v>0.37290000000000001</v>
          </cell>
        </row>
        <row r="1618">
          <cell r="B1618" t="str">
            <v>MN-59</v>
          </cell>
          <cell r="C1618" t="str">
            <v>ESP</v>
          </cell>
          <cell r="D1618">
            <v>44916</v>
          </cell>
          <cell r="E1618">
            <v>0.57291666666666663</v>
          </cell>
          <cell r="F1618">
            <v>6.88E-2</v>
          </cell>
          <cell r="G1618"/>
          <cell r="H1618">
            <v>5.1299999999999998E-2</v>
          </cell>
          <cell r="I1618">
            <v>0.15129999999999999</v>
          </cell>
          <cell r="J1618">
            <v>9.6100000000000005E-2</v>
          </cell>
        </row>
        <row r="1619">
          <cell r="B1619" t="str">
            <v>MN X-02</v>
          </cell>
          <cell r="C1619" t="str">
            <v>ESP</v>
          </cell>
          <cell r="D1619">
            <v>44917</v>
          </cell>
          <cell r="E1619">
            <v>0.33611111111111108</v>
          </cell>
          <cell r="F1619">
            <v>1.7399999999999999E-2</v>
          </cell>
          <cell r="G1619"/>
          <cell r="H1619">
            <v>2.5999999999999999E-2</v>
          </cell>
          <cell r="I1619">
            <v>3.5799999999999998E-2</v>
          </cell>
          <cell r="J1619">
            <v>4.1200000000000001E-2</v>
          </cell>
        </row>
        <row r="1620">
          <cell r="B1620" t="str">
            <v>MN-75</v>
          </cell>
          <cell r="C1620" t="str">
            <v>ESP</v>
          </cell>
          <cell r="D1620">
            <v>44917</v>
          </cell>
          <cell r="E1620">
            <v>0.34930555555555554</v>
          </cell>
          <cell r="F1620">
            <v>1.29E-2</v>
          </cell>
          <cell r="G1620"/>
          <cell r="H1620">
            <v>6.9400000000000003E-2</v>
          </cell>
          <cell r="I1620">
            <v>9.8299999999999998E-2</v>
          </cell>
          <cell r="J1620">
            <v>0.1212</v>
          </cell>
        </row>
        <row r="1621">
          <cell r="B1621" t="str">
            <v>MN-50</v>
          </cell>
          <cell r="C1621" t="str">
            <v>ESP</v>
          </cell>
          <cell r="D1621">
            <v>44917</v>
          </cell>
          <cell r="E1621">
            <v>0.56944444444444442</v>
          </cell>
          <cell r="F1621">
            <v>3.4299999999999997E-2</v>
          </cell>
          <cell r="G1621"/>
          <cell r="H1621">
            <v>2.87E-2</v>
          </cell>
          <cell r="I1621">
            <v>4.9299999999999997E-2</v>
          </cell>
          <cell r="J1621">
            <v>3.6700000000000003E-2</v>
          </cell>
        </row>
        <row r="1622">
          <cell r="B1622" t="str">
            <v>LY-298</v>
          </cell>
          <cell r="C1622" t="str">
            <v>ESP</v>
          </cell>
          <cell r="D1622">
            <v>44917</v>
          </cell>
          <cell r="E1622">
            <v>0.57986111111111105</v>
          </cell>
          <cell r="F1622">
            <v>2.3199999999999998E-2</v>
          </cell>
          <cell r="G1622"/>
          <cell r="H1622">
            <v>3.4700000000000002E-2</v>
          </cell>
          <cell r="I1622">
            <v>7.0199999999999999E-2</v>
          </cell>
          <cell r="J1622">
            <v>4.5400000000000003E-2</v>
          </cell>
        </row>
        <row r="1623">
          <cell r="B1623" t="str">
            <v>MN-71</v>
          </cell>
          <cell r="C1623" t="str">
            <v>ESP</v>
          </cell>
          <cell r="D1623">
            <v>44918</v>
          </cell>
          <cell r="E1623">
            <v>0.34722222222222227</v>
          </cell>
          <cell r="F1623">
            <v>3.39E-2</v>
          </cell>
          <cell r="G1623"/>
          <cell r="H1623">
            <v>4.6600000000000003E-2</v>
          </cell>
          <cell r="I1623">
            <v>6.9900000000000004E-2</v>
          </cell>
          <cell r="J1623">
            <v>3.9800000000000002E-2</v>
          </cell>
        </row>
        <row r="1624">
          <cell r="B1624" t="str">
            <v>MN-71</v>
          </cell>
          <cell r="C1624" t="str">
            <v>ESP</v>
          </cell>
          <cell r="D1624">
            <v>44921</v>
          </cell>
          <cell r="E1624">
            <v>0.34861111111111115</v>
          </cell>
          <cell r="F1624">
            <v>1.2800000000000001E-2</v>
          </cell>
          <cell r="G1624"/>
          <cell r="H1624">
            <v>6.4000000000000003E-3</v>
          </cell>
          <cell r="I1624">
            <v>8.3000000000000001E-3</v>
          </cell>
          <cell r="J1624">
            <v>1.12E-2</v>
          </cell>
        </row>
        <row r="1625">
          <cell r="B1625" t="str">
            <v>MN-73</v>
          </cell>
          <cell r="C1625" t="str">
            <v>ESP</v>
          </cell>
          <cell r="D1625">
            <v>44918</v>
          </cell>
          <cell r="E1625">
            <v>0.36805555555555558</v>
          </cell>
          <cell r="F1625">
            <v>2.8500000000000001E-2</v>
          </cell>
          <cell r="G1625"/>
          <cell r="H1625">
            <v>2.7699999999999999E-2</v>
          </cell>
          <cell r="I1625">
            <v>9.6500000000000002E-2</v>
          </cell>
          <cell r="J1625">
            <v>0.30709999999999998</v>
          </cell>
        </row>
        <row r="1626">
          <cell r="B1626" t="str">
            <v>MN-73</v>
          </cell>
          <cell r="C1626" t="str">
            <v>ESP</v>
          </cell>
          <cell r="D1626">
            <v>44921</v>
          </cell>
          <cell r="E1626">
            <v>0.3125</v>
          </cell>
          <cell r="F1626">
            <v>1.29E-2</v>
          </cell>
          <cell r="G1626"/>
          <cell r="H1626">
            <v>1.6299999999999999E-2</v>
          </cell>
          <cell r="I1626">
            <v>0.1429</v>
          </cell>
          <cell r="J1626">
            <v>0.44640000000000002</v>
          </cell>
        </row>
        <row r="1627">
          <cell r="B1627" t="str">
            <v>LY-206</v>
          </cell>
          <cell r="C1627" t="str">
            <v>ESP</v>
          </cell>
          <cell r="D1627">
            <v>44921</v>
          </cell>
          <cell r="E1627">
            <v>0.36805555555555558</v>
          </cell>
          <cell r="F1627">
            <v>6.4999999999999997E-3</v>
          </cell>
          <cell r="G1627"/>
          <cell r="H1627">
            <v>2.0799999999999999E-2</v>
          </cell>
          <cell r="I1627">
            <v>4.6300000000000001E-2</v>
          </cell>
          <cell r="J1627">
            <v>1.8100000000000002E-2</v>
          </cell>
        </row>
        <row r="1628">
          <cell r="B1628" t="str">
            <v>MN-75</v>
          </cell>
          <cell r="C1628" t="str">
            <v>ESP</v>
          </cell>
          <cell r="D1628">
            <v>44921</v>
          </cell>
          <cell r="E1628">
            <v>0.35833333333333334</v>
          </cell>
          <cell r="F1628">
            <v>6.4999999999999997E-3</v>
          </cell>
          <cell r="G1628"/>
          <cell r="H1628">
            <v>1.78E-2</v>
          </cell>
          <cell r="I1628">
            <v>1.47E-2</v>
          </cell>
          <cell r="J1628">
            <v>7.7000000000000002E-3</v>
          </cell>
        </row>
        <row r="1629">
          <cell r="B1629" t="str">
            <v>CL-19</v>
          </cell>
          <cell r="C1629" t="str">
            <v>ESP</v>
          </cell>
          <cell r="D1629">
            <v>44921</v>
          </cell>
          <cell r="E1629">
            <v>0.57361111111111118</v>
          </cell>
          <cell r="F1629">
            <v>5.0000000000000001E-3</v>
          </cell>
          <cell r="G1629"/>
          <cell r="H1629">
            <v>1.52E-2</v>
          </cell>
          <cell r="I1629">
            <v>3.6999999999999998E-2</v>
          </cell>
          <cell r="J1629">
            <v>3.8199999999999998E-2</v>
          </cell>
        </row>
        <row r="1630">
          <cell r="B1630" t="str">
            <v>CL-56</v>
          </cell>
          <cell r="C1630" t="str">
            <v>ESP</v>
          </cell>
          <cell r="D1630">
            <v>44921</v>
          </cell>
          <cell r="E1630">
            <v>0.58124999999999993</v>
          </cell>
          <cell r="F1630">
            <v>5.7000000000000002E-3</v>
          </cell>
          <cell r="G1630"/>
          <cell r="H1630">
            <v>6.1999999999999998E-3</v>
          </cell>
          <cell r="I1630">
            <v>7.7999999999999996E-3</v>
          </cell>
          <cell r="J1630">
            <v>7.4000000000000003E-3</v>
          </cell>
        </row>
        <row r="1631">
          <cell r="B1631" t="str">
            <v>CL-21</v>
          </cell>
          <cell r="C1631" t="str">
            <v>ESP</v>
          </cell>
          <cell r="D1631">
            <v>44922</v>
          </cell>
          <cell r="E1631">
            <v>0.34027777777777773</v>
          </cell>
          <cell r="F1631">
            <v>9.2999999999999992E-3</v>
          </cell>
          <cell r="G1631"/>
          <cell r="H1631">
            <v>1.03E-2</v>
          </cell>
          <cell r="I1631">
            <v>1.4800000000000001E-2</v>
          </cell>
          <cell r="J1631">
            <v>1.18E-2</v>
          </cell>
        </row>
        <row r="1632">
          <cell r="B1632" t="str">
            <v>CL-04</v>
          </cell>
          <cell r="C1632" t="str">
            <v>ESP</v>
          </cell>
          <cell r="D1632">
            <v>44922</v>
          </cell>
          <cell r="E1632">
            <v>0.3520833333333333</v>
          </cell>
          <cell r="F1632">
            <v>7.9000000000000008E-3</v>
          </cell>
          <cell r="G1632"/>
          <cell r="H1632">
            <v>1.23E-2</v>
          </cell>
          <cell r="I1632">
            <v>3.1300000000000001E-2</v>
          </cell>
          <cell r="J1632">
            <v>2.4799999999999999E-2</v>
          </cell>
        </row>
        <row r="1633">
          <cell r="B1633" t="str">
            <v>CL-11</v>
          </cell>
          <cell r="C1633" t="str">
            <v>ESP</v>
          </cell>
          <cell r="D1633">
            <v>44922</v>
          </cell>
          <cell r="E1633">
            <v>0.58333333333333337</v>
          </cell>
          <cell r="F1633">
            <v>5.3E-3</v>
          </cell>
          <cell r="G1633"/>
          <cell r="H1633">
            <v>8.8000000000000005E-3</v>
          </cell>
          <cell r="I1633">
            <v>5.8999999999999999E-3</v>
          </cell>
          <cell r="J1633">
            <v>1.1599999999999999E-2</v>
          </cell>
        </row>
        <row r="1634">
          <cell r="B1634" t="str">
            <v>CL-07</v>
          </cell>
          <cell r="C1634" t="str">
            <v>ESP</v>
          </cell>
          <cell r="D1634">
            <v>44922</v>
          </cell>
          <cell r="E1634">
            <v>0.59027777777777779</v>
          </cell>
          <cell r="F1634">
            <v>3.0000000000000001E-3</v>
          </cell>
          <cell r="G1634"/>
          <cell r="H1634">
            <v>6.7000000000000002E-3</v>
          </cell>
          <cell r="I1634">
            <v>8.6999999999999994E-3</v>
          </cell>
          <cell r="J1634">
            <v>6.4000000000000003E-3</v>
          </cell>
        </row>
        <row r="1635">
          <cell r="B1635" t="str">
            <v>LY-104</v>
          </cell>
          <cell r="C1635" t="str">
            <v>ESP</v>
          </cell>
          <cell r="D1635">
            <v>44923</v>
          </cell>
          <cell r="E1635">
            <v>0.34930555555555554</v>
          </cell>
          <cell r="F1635">
            <v>5.4000000000000003E-3</v>
          </cell>
          <cell r="G1635"/>
          <cell r="H1635">
            <v>5.8999999999999999E-3</v>
          </cell>
          <cell r="I1635">
            <v>5.3E-3</v>
          </cell>
          <cell r="J1635">
            <v>7.1000000000000004E-3</v>
          </cell>
        </row>
        <row r="1636">
          <cell r="B1636" t="str">
            <v>LY-159</v>
          </cell>
          <cell r="C1636" t="str">
            <v>ESP</v>
          </cell>
          <cell r="D1636">
            <v>44923</v>
          </cell>
          <cell r="E1636">
            <v>0.35486111111111113</v>
          </cell>
          <cell r="F1636">
            <v>8.2000000000000007E-3</v>
          </cell>
          <cell r="G1636"/>
          <cell r="H1636">
            <v>1.23E-2</v>
          </cell>
          <cell r="I1636">
            <v>1.1047</v>
          </cell>
          <cell r="J1636">
            <v>0.5141</v>
          </cell>
        </row>
        <row r="1637">
          <cell r="B1637" t="str">
            <v>CY-41</v>
          </cell>
          <cell r="C1637" t="str">
            <v>ESP</v>
          </cell>
          <cell r="D1637">
            <v>44923</v>
          </cell>
          <cell r="E1637">
            <v>0.59513888888888888</v>
          </cell>
          <cell r="F1637">
            <v>1.17E-2</v>
          </cell>
          <cell r="G1637"/>
          <cell r="H1637">
            <v>2.8899999999999999E-2</v>
          </cell>
          <cell r="I1637">
            <v>7.4200000000000002E-2</v>
          </cell>
          <cell r="J1637">
            <v>7.4999999999999997E-2</v>
          </cell>
        </row>
        <row r="1638">
          <cell r="B1638" t="str">
            <v>CY-49</v>
          </cell>
          <cell r="C1638" t="str">
            <v>ESP</v>
          </cell>
          <cell r="D1638">
            <v>44923</v>
          </cell>
          <cell r="E1638">
            <v>0.59027777777777779</v>
          </cell>
          <cell r="F1638">
            <v>1.67E-2</v>
          </cell>
          <cell r="G1638"/>
          <cell r="H1638">
            <v>2.9000000000000001E-2</v>
          </cell>
          <cell r="I1638">
            <v>3.39E-2</v>
          </cell>
          <cell r="J1638">
            <v>2.35E-2</v>
          </cell>
        </row>
        <row r="1639">
          <cell r="B1639" t="str">
            <v>MN-100</v>
          </cell>
          <cell r="C1639" t="str">
            <v>BM</v>
          </cell>
          <cell r="D1639">
            <v>44924</v>
          </cell>
          <cell r="E1639">
            <v>0.34027777777777773</v>
          </cell>
          <cell r="F1639">
            <v>0.02</v>
          </cell>
          <cell r="G1639"/>
          <cell r="H1639">
            <v>1.83E-2</v>
          </cell>
          <cell r="I1639">
            <v>2.1499999999999998E-2</v>
          </cell>
          <cell r="J1639">
            <v>7.4000000000000003E-3</v>
          </cell>
        </row>
        <row r="1640">
          <cell r="B1640" t="str">
            <v>MN-77ST</v>
          </cell>
          <cell r="C1640" t="str">
            <v>ESP</v>
          </cell>
          <cell r="D1640">
            <v>44924</v>
          </cell>
          <cell r="E1640">
            <v>0.35000000000000003</v>
          </cell>
          <cell r="F1640">
            <v>0.2944</v>
          </cell>
          <cell r="G1640"/>
          <cell r="H1640">
            <v>0.16120000000000001</v>
          </cell>
          <cell r="I1640">
            <v>0.15740000000000001</v>
          </cell>
          <cell r="J1640">
            <v>4.7399999999999998E-2</v>
          </cell>
        </row>
        <row r="1641">
          <cell r="B1641" t="str">
            <v xml:space="preserve"> </v>
          </cell>
          <cell r="C1641" t="str">
            <v>ESP</v>
          </cell>
          <cell r="D1641">
            <v>44924</v>
          </cell>
          <cell r="E1641">
            <v>0.57361111111111118</v>
          </cell>
          <cell r="F1641">
            <v>9.7000000000000003E-3</v>
          </cell>
          <cell r="G1641"/>
          <cell r="H1641">
            <v>1.17E-2</v>
          </cell>
          <cell r="I1641">
            <v>2.2100000000000002E-2</v>
          </cell>
          <cell r="J1641">
            <v>1.24E-2</v>
          </cell>
        </row>
        <row r="1642">
          <cell r="B1642" t="str">
            <v>LY-136</v>
          </cell>
          <cell r="C1642" t="str">
            <v>ESP</v>
          </cell>
          <cell r="D1642">
            <v>44924</v>
          </cell>
          <cell r="E1642">
            <v>0.56944444444444442</v>
          </cell>
          <cell r="F1642">
            <v>3.1600000000000003E-2</v>
          </cell>
          <cell r="G1642"/>
          <cell r="H1642">
            <v>2.98E-2</v>
          </cell>
          <cell r="I1642">
            <v>2.2499999999999999E-2</v>
          </cell>
          <cell r="J1642">
            <v>1.38E-2</v>
          </cell>
        </row>
        <row r="1643">
          <cell r="B1643" t="str">
            <v>MN-25</v>
          </cell>
          <cell r="C1643" t="str">
            <v>ESP</v>
          </cell>
          <cell r="D1643">
            <v>44925</v>
          </cell>
          <cell r="E1643">
            <v>0.33680555555555558</v>
          </cell>
          <cell r="F1643">
            <v>2.4500000000000001E-2</v>
          </cell>
          <cell r="G1643"/>
          <cell r="H1643">
            <v>3.0800000000000001E-2</v>
          </cell>
          <cell r="I1643">
            <v>0.33410000000000001</v>
          </cell>
          <cell r="J1643">
            <v>0.16270000000000001</v>
          </cell>
        </row>
        <row r="1644">
          <cell r="B1644" t="str">
            <v>LY-251</v>
          </cell>
          <cell r="C1644" t="str">
            <v>ESP</v>
          </cell>
          <cell r="D1644">
            <v>44925</v>
          </cell>
          <cell r="E1644">
            <v>0.3444444444444445</v>
          </cell>
          <cell r="F1644">
            <v>4.6899999999999997E-2</v>
          </cell>
          <cell r="G1644"/>
          <cell r="H1644">
            <v>0.1176</v>
          </cell>
          <cell r="I1644">
            <v>0.12640000000000001</v>
          </cell>
          <cell r="J1644">
            <v>6.6400000000000001E-2</v>
          </cell>
        </row>
        <row r="1645">
          <cell r="B1645" t="str">
            <v>MN-77ST</v>
          </cell>
          <cell r="C1645" t="str">
            <v>ESP</v>
          </cell>
          <cell r="D1645">
            <v>44928</v>
          </cell>
          <cell r="E1645">
            <v>0.34722222222222227</v>
          </cell>
          <cell r="F1645">
            <v>7.2099999999999997E-2</v>
          </cell>
          <cell r="G1645"/>
          <cell r="H1645">
            <v>4.1500000000000002E-2</v>
          </cell>
          <cell r="I1645">
            <v>4.3299999999999998E-2</v>
          </cell>
          <cell r="J1645">
            <v>3.2300000000000002E-2</v>
          </cell>
        </row>
        <row r="1646">
          <cell r="B1646" t="str">
            <v>LY-226</v>
          </cell>
          <cell r="C1646" t="str">
            <v>ESP</v>
          </cell>
          <cell r="D1646">
            <v>44928</v>
          </cell>
          <cell r="E1646">
            <v>0.34027777777777773</v>
          </cell>
          <cell r="F1646">
            <v>1.01E-2</v>
          </cell>
          <cell r="G1646"/>
          <cell r="H1646">
            <v>8.8000000000000005E-3</v>
          </cell>
          <cell r="I1646">
            <v>9.2600000000000002E-2</v>
          </cell>
          <cell r="J1646">
            <v>0.1154</v>
          </cell>
        </row>
        <row r="1647">
          <cell r="B1647" t="str">
            <v>LY-008</v>
          </cell>
          <cell r="C1647" t="str">
            <v>ESP</v>
          </cell>
          <cell r="D1647">
            <v>44928</v>
          </cell>
          <cell r="E1647">
            <v>0.57222222222222219</v>
          </cell>
          <cell r="F1647">
            <v>1.7100000000000001E-2</v>
          </cell>
          <cell r="G1647"/>
          <cell r="H1647">
            <v>2.8199999999999999E-2</v>
          </cell>
          <cell r="I1647">
            <v>0.11409999999999999</v>
          </cell>
          <cell r="J1647">
            <v>0.42880000000000001</v>
          </cell>
        </row>
        <row r="1648">
          <cell r="B1648" t="str">
            <v>LY-074</v>
          </cell>
          <cell r="C1648" t="str">
            <v>ESP</v>
          </cell>
          <cell r="D1648">
            <v>44929</v>
          </cell>
          <cell r="E1648">
            <v>0.64583333333333337</v>
          </cell>
          <cell r="F1648">
            <v>2.9600000000000001E-2</v>
          </cell>
          <cell r="G1648"/>
          <cell r="H1648">
            <v>2.8000000000000001E-2</v>
          </cell>
          <cell r="I1648">
            <v>5.2699999999999997E-2</v>
          </cell>
          <cell r="J1648">
            <v>2.5899999999999999E-2</v>
          </cell>
        </row>
        <row r="1649">
          <cell r="B1649" t="str">
            <v>LY-008</v>
          </cell>
          <cell r="C1649" t="str">
            <v>ESP</v>
          </cell>
          <cell r="D1649">
            <v>44929</v>
          </cell>
          <cell r="E1649">
            <v>0.31805555555555554</v>
          </cell>
          <cell r="F1649">
            <v>8.8999999999999999E-3</v>
          </cell>
          <cell r="G1649"/>
          <cell r="H1649">
            <v>8.2000000000000007E-3</v>
          </cell>
          <cell r="I1649">
            <v>2.8199999999999999E-2</v>
          </cell>
          <cell r="J1649">
            <v>7.1999999999999995E-2</v>
          </cell>
        </row>
        <row r="1650">
          <cell r="B1650" t="str">
            <v>LY-264</v>
          </cell>
          <cell r="C1650" t="str">
            <v>ESP</v>
          </cell>
          <cell r="D1650">
            <v>44929</v>
          </cell>
          <cell r="E1650">
            <v>0.58124999999999993</v>
          </cell>
          <cell r="F1650">
            <v>2.07E-2</v>
          </cell>
          <cell r="G1650"/>
          <cell r="H1650">
            <v>2.5100000000000001E-2</v>
          </cell>
          <cell r="I1650">
            <v>6.9800000000000001E-2</v>
          </cell>
          <cell r="J1650">
            <v>2.81E-2</v>
          </cell>
        </row>
        <row r="1651">
          <cell r="B1651" t="str">
            <v>LY-305</v>
          </cell>
          <cell r="C1651" t="str">
            <v>ESP</v>
          </cell>
          <cell r="D1651">
            <v>44930</v>
          </cell>
          <cell r="E1651">
            <v>0.33333333333333331</v>
          </cell>
          <cell r="F1651">
            <v>8.0999999999999996E-3</v>
          </cell>
          <cell r="G1651"/>
          <cell r="H1651">
            <v>1.43E-2</v>
          </cell>
          <cell r="I1651">
            <v>4.3999999999999997E-2</v>
          </cell>
          <cell r="J1651">
            <v>1.7899999999999999E-2</v>
          </cell>
        </row>
        <row r="1652">
          <cell r="B1652" t="str">
            <v>LY-234</v>
          </cell>
          <cell r="C1652" t="str">
            <v>ESP</v>
          </cell>
          <cell r="D1652">
            <v>44930</v>
          </cell>
          <cell r="E1652">
            <v>0.56944444444444442</v>
          </cell>
          <cell r="F1652">
            <v>3.0000000000000001E-3</v>
          </cell>
          <cell r="G1652"/>
          <cell r="H1652">
            <v>6.4999999999999997E-3</v>
          </cell>
          <cell r="I1652">
            <v>1.6500000000000001E-2</v>
          </cell>
          <cell r="J1652">
            <v>1.2E-2</v>
          </cell>
        </row>
        <row r="1653">
          <cell r="B1653" t="str">
            <v>LY-074</v>
          </cell>
          <cell r="C1653" t="str">
            <v>ESP</v>
          </cell>
          <cell r="D1653">
            <v>44930</v>
          </cell>
          <cell r="E1653">
            <v>0.31319444444444444</v>
          </cell>
          <cell r="F1653">
            <v>1.7299999999999999E-2</v>
          </cell>
          <cell r="G1653"/>
          <cell r="H1653">
            <v>2.5499999999999998E-2</v>
          </cell>
          <cell r="I1653">
            <v>3.4599999999999999E-2</v>
          </cell>
          <cell r="J1653">
            <v>4.1399999999999999E-2</v>
          </cell>
        </row>
        <row r="1654">
          <cell r="B1654" t="str">
            <v>LY-092</v>
          </cell>
          <cell r="C1654" t="str">
            <v>ESP</v>
          </cell>
          <cell r="D1654">
            <v>44931</v>
          </cell>
          <cell r="E1654">
            <v>0.33333333333333331</v>
          </cell>
          <cell r="F1654">
            <v>1.34E-2</v>
          </cell>
          <cell r="G1654"/>
          <cell r="H1654">
            <v>9.5999999999999992E-3</v>
          </cell>
          <cell r="I1654">
            <v>3.44E-2</v>
          </cell>
          <cell r="J1654">
            <v>1.23E-2</v>
          </cell>
        </row>
        <row r="1655">
          <cell r="B1655" t="str">
            <v>LY-085</v>
          </cell>
          <cell r="C1655" t="str">
            <v>ESP</v>
          </cell>
          <cell r="D1655">
            <v>44931</v>
          </cell>
          <cell r="E1655">
            <v>0.57222222222222219</v>
          </cell>
          <cell r="F1655">
            <v>3.0300000000000001E-2</v>
          </cell>
          <cell r="G1655"/>
          <cell r="H1655">
            <v>6.6E-3</v>
          </cell>
          <cell r="I1655">
            <v>1.37E-2</v>
          </cell>
          <cell r="J1655">
            <v>1.5599999999999999E-2</v>
          </cell>
        </row>
        <row r="1656">
          <cell r="B1656" t="str">
            <v>LY-074</v>
          </cell>
          <cell r="C1656" t="str">
            <v>ESP</v>
          </cell>
          <cell r="D1656">
            <v>44931</v>
          </cell>
          <cell r="E1656">
            <v>0.32569444444444445</v>
          </cell>
          <cell r="F1656">
            <v>1.7899999999999999E-2</v>
          </cell>
          <cell r="G1656"/>
          <cell r="H1656">
            <v>1.8800000000000001E-2</v>
          </cell>
          <cell r="I1656">
            <v>8.8000000000000005E-3</v>
          </cell>
          <cell r="J1656">
            <v>9.2999999999999992E-3</v>
          </cell>
        </row>
        <row r="1657">
          <cell r="B1657" t="str">
            <v>LY-048</v>
          </cell>
          <cell r="C1657" t="str">
            <v>ESP</v>
          </cell>
          <cell r="D1657">
            <v>44932</v>
          </cell>
          <cell r="E1657">
            <v>0.34027777777777773</v>
          </cell>
          <cell r="F1657">
            <v>2.3E-3</v>
          </cell>
          <cell r="G1657"/>
          <cell r="H1657">
            <v>7.7999999999999996E-3</v>
          </cell>
          <cell r="I1657">
            <v>7.4000000000000003E-3</v>
          </cell>
          <cell r="J1657">
            <v>8.6E-3</v>
          </cell>
        </row>
        <row r="1658">
          <cell r="B1658" t="str">
            <v>LY-075</v>
          </cell>
          <cell r="C1658" t="str">
            <v>ESP</v>
          </cell>
          <cell r="D1658">
            <v>44932</v>
          </cell>
          <cell r="E1658">
            <v>0.57500000000000007</v>
          </cell>
          <cell r="F1658">
            <v>2.8E-3</v>
          </cell>
          <cell r="G1658"/>
          <cell r="H1658">
            <v>1.7299999999999999E-2</v>
          </cell>
          <cell r="I1658">
            <v>5.0700000000000002E-2</v>
          </cell>
          <cell r="J1658">
            <v>1.7500000000000002E-2</v>
          </cell>
        </row>
        <row r="1659">
          <cell r="B1659" t="str">
            <v>LY-074</v>
          </cell>
          <cell r="C1659" t="str">
            <v>ESP</v>
          </cell>
          <cell r="D1659">
            <v>44932</v>
          </cell>
          <cell r="E1659">
            <v>0.32500000000000001</v>
          </cell>
          <cell r="F1659">
            <v>8.5000000000000006E-3</v>
          </cell>
          <cell r="G1659"/>
          <cell r="H1659">
            <v>9.4000000000000004E-3</v>
          </cell>
          <cell r="I1659">
            <v>1.66E-2</v>
          </cell>
          <cell r="J1659">
            <v>1.5299999999999999E-2</v>
          </cell>
        </row>
        <row r="1660">
          <cell r="B1660" t="str">
            <v>CY-26</v>
          </cell>
          <cell r="C1660" t="str">
            <v>ESP</v>
          </cell>
          <cell r="D1660">
            <v>44936</v>
          </cell>
          <cell r="E1660">
            <v>0.33055555555555555</v>
          </cell>
          <cell r="F1660">
            <v>8.0999999999999996E-3</v>
          </cell>
          <cell r="G1660"/>
          <cell r="H1660">
            <v>1.5699999999999999E-2</v>
          </cell>
          <cell r="I1660">
            <v>0.12330000000000001</v>
          </cell>
          <cell r="J1660">
            <v>0.19400000000000001</v>
          </cell>
        </row>
        <row r="1661">
          <cell r="B1661" t="str">
            <v>LY-074</v>
          </cell>
          <cell r="C1661" t="str">
            <v>ESP</v>
          </cell>
          <cell r="D1661">
            <v>44936</v>
          </cell>
          <cell r="E1661">
            <v>0.34027777777777773</v>
          </cell>
          <cell r="F1661">
            <v>7.1999999999999998E-3</v>
          </cell>
          <cell r="G1661"/>
          <cell r="H1661">
            <v>4.0000000000000001E-3</v>
          </cell>
          <cell r="I1661">
            <v>5.0000000000000001E-3</v>
          </cell>
          <cell r="J1661">
            <v>7.6E-3</v>
          </cell>
        </row>
        <row r="1662">
          <cell r="B1662" t="str">
            <v>CY-61</v>
          </cell>
          <cell r="C1662" t="str">
            <v>ESP</v>
          </cell>
          <cell r="D1662">
            <v>44936</v>
          </cell>
          <cell r="E1662">
            <v>0.56944444444444442</v>
          </cell>
          <cell r="F1662">
            <v>3.5400000000000001E-2</v>
          </cell>
          <cell r="G1662"/>
          <cell r="H1662">
            <v>4.2500000000000003E-2</v>
          </cell>
          <cell r="I1662">
            <v>3.8100000000000002E-2</v>
          </cell>
          <cell r="J1662">
            <v>0.1042</v>
          </cell>
        </row>
        <row r="1663">
          <cell r="B1663" t="str">
            <v>CY-69</v>
          </cell>
          <cell r="C1663" t="str">
            <v>ESP</v>
          </cell>
          <cell r="D1663">
            <v>44937</v>
          </cell>
          <cell r="E1663">
            <v>0.32777777777777778</v>
          </cell>
          <cell r="F1663">
            <v>1.0500000000000001E-2</v>
          </cell>
          <cell r="G1663"/>
          <cell r="H1663">
            <v>1.0500000000000001E-2</v>
          </cell>
          <cell r="I1663">
            <v>1.8100000000000002E-2</v>
          </cell>
          <cell r="J1663">
            <v>2.5700000000000001E-2</v>
          </cell>
        </row>
        <row r="1664">
          <cell r="B1664" t="str">
            <v>LY-074</v>
          </cell>
          <cell r="C1664" t="str">
            <v>ESP</v>
          </cell>
          <cell r="D1664">
            <v>44937</v>
          </cell>
          <cell r="E1664">
            <v>0.30763888888888891</v>
          </cell>
          <cell r="F1664">
            <v>1.8200000000000001E-2</v>
          </cell>
          <cell r="G1664"/>
          <cell r="H1664">
            <v>4.3900000000000002E-2</v>
          </cell>
          <cell r="I1664">
            <v>2.7300000000000001E-2</v>
          </cell>
          <cell r="J1664">
            <v>1.9699999999999999E-2</v>
          </cell>
        </row>
        <row r="1665">
          <cell r="B1665" t="str">
            <v>CY-94</v>
          </cell>
          <cell r="C1665" t="str">
            <v>ESP</v>
          </cell>
          <cell r="D1665">
            <v>44937</v>
          </cell>
          <cell r="E1665">
            <v>0.56944444444444442</v>
          </cell>
          <cell r="F1665">
            <v>1.6000000000000001E-3</v>
          </cell>
          <cell r="G1665"/>
          <cell r="H1665">
            <v>1.12E-2</v>
          </cell>
          <cell r="I1665">
            <v>1.6899999999999998E-2</v>
          </cell>
          <cell r="J1665">
            <v>1.14E-2</v>
          </cell>
        </row>
        <row r="1666">
          <cell r="B1666" t="str">
            <v>LY-209</v>
          </cell>
          <cell r="C1666" t="str">
            <v>ESP</v>
          </cell>
          <cell r="D1666">
            <v>44938</v>
          </cell>
          <cell r="E1666">
            <v>0.32569444444444445</v>
          </cell>
          <cell r="F1666">
            <v>2.1999999999999999E-2</v>
          </cell>
          <cell r="G1666"/>
          <cell r="H1666">
            <v>3.4099999999999998E-2</v>
          </cell>
          <cell r="I1666">
            <v>0.44429999999999997</v>
          </cell>
          <cell r="J1666">
            <v>0.1988</v>
          </cell>
        </row>
        <row r="1667">
          <cell r="B1667" t="str">
            <v>LY-074</v>
          </cell>
          <cell r="C1667" t="str">
            <v>ESP</v>
          </cell>
          <cell r="D1667">
            <v>44938</v>
          </cell>
          <cell r="E1667">
            <v>0.3</v>
          </cell>
          <cell r="F1667">
            <v>1.1599999999999999E-2</v>
          </cell>
          <cell r="G1667"/>
          <cell r="H1667">
            <v>3.1699999999999999E-2</v>
          </cell>
          <cell r="I1667">
            <v>2.5899999999999999E-2</v>
          </cell>
          <cell r="J1667">
            <v>2.47E-2</v>
          </cell>
        </row>
        <row r="1668">
          <cell r="B1668" t="str">
            <v>LY-236</v>
          </cell>
          <cell r="C1668" t="str">
            <v>ESP</v>
          </cell>
          <cell r="D1668">
            <v>44938</v>
          </cell>
          <cell r="E1668">
            <v>0.56666666666666665</v>
          </cell>
          <cell r="F1668">
            <v>9.4999999999999998E-3</v>
          </cell>
          <cell r="G1668"/>
          <cell r="H1668">
            <v>1.49E-2</v>
          </cell>
          <cell r="I1668">
            <v>2.1399999999999999E-2</v>
          </cell>
          <cell r="J1668">
            <v>1.24E-2</v>
          </cell>
        </row>
        <row r="1669">
          <cell r="B1669" t="str">
            <v>LY-239</v>
          </cell>
          <cell r="C1669" t="str">
            <v>ESP</v>
          </cell>
          <cell r="D1669">
            <v>44939</v>
          </cell>
          <cell r="E1669">
            <v>0.33055555555555555</v>
          </cell>
          <cell r="F1669">
            <v>2.8400000000000002E-2</v>
          </cell>
          <cell r="G1669"/>
          <cell r="H1669">
            <v>9.1499999999999998E-2</v>
          </cell>
          <cell r="I1669">
            <v>0.1089</v>
          </cell>
          <cell r="J1669">
            <v>0.08</v>
          </cell>
        </row>
        <row r="1670">
          <cell r="B1670" t="str">
            <v>LY-074</v>
          </cell>
          <cell r="C1670" t="str">
            <v>ESP</v>
          </cell>
          <cell r="D1670">
            <v>44939</v>
          </cell>
          <cell r="E1670">
            <v>0.31944444444444448</v>
          </cell>
          <cell r="F1670">
            <v>1.66E-2</v>
          </cell>
          <cell r="G1670"/>
          <cell r="H1670">
            <v>1.9900000000000001E-2</v>
          </cell>
          <cell r="I1670">
            <v>3.5900000000000001E-2</v>
          </cell>
          <cell r="J1670">
            <v>2.8400000000000002E-2</v>
          </cell>
        </row>
        <row r="1671">
          <cell r="B1671" t="str">
            <v>CY-08</v>
          </cell>
          <cell r="C1671" t="str">
            <v>ESP</v>
          </cell>
          <cell r="D1671">
            <v>44939</v>
          </cell>
          <cell r="E1671">
            <v>0.56944444444444442</v>
          </cell>
          <cell r="F1671">
            <v>7.4000000000000003E-3</v>
          </cell>
          <cell r="G1671"/>
          <cell r="H1671">
            <v>9.7999999999999997E-3</v>
          </cell>
          <cell r="I1671">
            <v>1.7000000000000001E-2</v>
          </cell>
          <cell r="J1671">
            <v>1.8200000000000001E-2</v>
          </cell>
        </row>
        <row r="1672">
          <cell r="B1672" t="str">
            <v>LY-151</v>
          </cell>
          <cell r="C1672" t="str">
            <v>ESP</v>
          </cell>
          <cell r="D1672">
            <v>44942</v>
          </cell>
          <cell r="E1672">
            <v>0.3298611111111111</v>
          </cell>
          <cell r="F1672">
            <v>0.3135</v>
          </cell>
          <cell r="G1672"/>
          <cell r="H1672">
            <v>0.31259999999999999</v>
          </cell>
          <cell r="I1672">
            <v>0.56740000000000002</v>
          </cell>
          <cell r="J1672">
            <v>0.17080000000000001</v>
          </cell>
        </row>
        <row r="1673">
          <cell r="B1673" t="str">
            <v>LY-209</v>
          </cell>
          <cell r="C1673" t="str">
            <v>ESP</v>
          </cell>
          <cell r="D1673">
            <v>44942</v>
          </cell>
          <cell r="E1673">
            <v>0.34375</v>
          </cell>
          <cell r="F1673">
            <v>7.5899999999999995E-2</v>
          </cell>
          <cell r="G1673"/>
          <cell r="H1673">
            <v>8.9499999999999996E-2</v>
          </cell>
          <cell r="I1673">
            <v>0.19850000000000001</v>
          </cell>
          <cell r="J1673">
            <v>0.1371</v>
          </cell>
        </row>
        <row r="1674">
          <cell r="B1674" t="str">
            <v>LY-133</v>
          </cell>
          <cell r="C1674" t="str">
            <v>ESP</v>
          </cell>
          <cell r="D1674">
            <v>44577</v>
          </cell>
          <cell r="E1674">
            <v>0.59375</v>
          </cell>
          <cell r="F1674">
            <v>4.4400000000000002E-2</v>
          </cell>
          <cell r="G1674"/>
          <cell r="H1674">
            <v>2.2599999999999999E-2</v>
          </cell>
          <cell r="I1674">
            <v>5.6599999999999998E-2</v>
          </cell>
          <cell r="J1674">
            <v>2.24E-2</v>
          </cell>
        </row>
        <row r="1675">
          <cell r="B1675" t="str">
            <v>MN-008</v>
          </cell>
          <cell r="C1675" t="str">
            <v>ESP</v>
          </cell>
          <cell r="D1675">
            <v>44577</v>
          </cell>
          <cell r="E1675">
            <v>0.58333333333333337</v>
          </cell>
          <cell r="F1675">
            <v>1.95E-2</v>
          </cell>
          <cell r="G1675"/>
          <cell r="H1675">
            <v>0.10100000000000001</v>
          </cell>
          <cell r="I1675">
            <v>0.3392</v>
          </cell>
          <cell r="J1675">
            <v>0.1192</v>
          </cell>
        </row>
        <row r="1676">
          <cell r="B1676" t="str">
            <v>MN-45</v>
          </cell>
          <cell r="C1676" t="str">
            <v>ESP</v>
          </cell>
          <cell r="D1676">
            <v>44943</v>
          </cell>
          <cell r="E1676">
            <v>0.34583333333333338</v>
          </cell>
          <cell r="F1676">
            <v>5.4399999999999997E-2</v>
          </cell>
          <cell r="G1676"/>
          <cell r="H1676">
            <v>4.6199999999999998E-2</v>
          </cell>
          <cell r="I1676">
            <v>9.2600000000000002E-2</v>
          </cell>
          <cell r="J1676">
            <v>1.9300000000000001E-2</v>
          </cell>
        </row>
        <row r="1677">
          <cell r="B1677" t="str">
            <v>LY-074</v>
          </cell>
          <cell r="C1677" t="str">
            <v>ESP</v>
          </cell>
          <cell r="D1677">
            <v>44943</v>
          </cell>
          <cell r="E1677">
            <v>0.3611111111111111</v>
          </cell>
          <cell r="F1677">
            <v>7.4000000000000003E-3</v>
          </cell>
          <cell r="G1677"/>
          <cell r="H1677">
            <v>8.2000000000000007E-3</v>
          </cell>
          <cell r="I1677">
            <v>1.5599999999999999E-2</v>
          </cell>
          <cell r="J1677">
            <v>1.4500000000000001E-2</v>
          </cell>
        </row>
        <row r="1678">
          <cell r="B1678" t="str">
            <v>MN-67</v>
          </cell>
          <cell r="C1678" t="str">
            <v>ESP</v>
          </cell>
          <cell r="D1678">
            <v>44943</v>
          </cell>
          <cell r="E1678">
            <v>0.56944444444444442</v>
          </cell>
          <cell r="F1678">
            <v>4.3E-3</v>
          </cell>
          <cell r="G1678"/>
          <cell r="H1678">
            <v>1.12E-2</v>
          </cell>
          <cell r="I1678">
            <v>1.2500000000000001E-2</v>
          </cell>
          <cell r="J1678">
            <v>1.7999999999999999E-2</v>
          </cell>
        </row>
        <row r="1679">
          <cell r="B1679" t="str">
            <v>LY-143</v>
          </cell>
          <cell r="C1679" t="str">
            <v>ESP</v>
          </cell>
          <cell r="D1679">
            <v>44943</v>
          </cell>
          <cell r="E1679">
            <v>0.58680555555555558</v>
          </cell>
          <cell r="F1679">
            <v>7.3300000000000004E-2</v>
          </cell>
          <cell r="G1679"/>
          <cell r="H1679">
            <v>4.7500000000000001E-2</v>
          </cell>
          <cell r="I1679">
            <v>2.23E-2</v>
          </cell>
          <cell r="J1679">
            <v>0.1128</v>
          </cell>
        </row>
        <row r="1680">
          <cell r="B1680" t="str">
            <v>LY-156</v>
          </cell>
          <cell r="C1680" t="str">
            <v>ESP</v>
          </cell>
          <cell r="D1680">
            <v>44579</v>
          </cell>
          <cell r="E1680">
            <v>0.3527777777777778</v>
          </cell>
          <cell r="F1680">
            <v>9.7999999999999997E-3</v>
          </cell>
          <cell r="G1680"/>
          <cell r="H1680">
            <v>2.8199999999999999E-2</v>
          </cell>
          <cell r="I1680">
            <v>5.1499999999999997E-2</v>
          </cell>
          <cell r="J1680">
            <v>3.1E-2</v>
          </cell>
        </row>
        <row r="1681">
          <cell r="B1681" t="str">
            <v>LY-287</v>
          </cell>
          <cell r="C1681" t="str">
            <v>ESP</v>
          </cell>
          <cell r="D1681">
            <v>44579</v>
          </cell>
          <cell r="E1681">
            <v>0.35416666666666669</v>
          </cell>
          <cell r="F1681">
            <v>5.4999999999999997E-3</v>
          </cell>
          <cell r="G1681"/>
          <cell r="H1681">
            <v>4.1000000000000003E-3</v>
          </cell>
          <cell r="I1681">
            <v>7.3000000000000001E-3</v>
          </cell>
          <cell r="J1681">
            <v>6.7999999999999996E-3</v>
          </cell>
        </row>
        <row r="1682">
          <cell r="B1682" t="str">
            <v>LY-151</v>
          </cell>
          <cell r="C1682" t="str">
            <v>ESP</v>
          </cell>
          <cell r="D1682">
            <v>44944</v>
          </cell>
          <cell r="E1682">
            <v>0.57986111111111105</v>
          </cell>
          <cell r="F1682">
            <v>7.2599999999999998E-2</v>
          </cell>
          <cell r="G1682"/>
          <cell r="H1682">
            <v>6.2399999999999997E-2</v>
          </cell>
          <cell r="I1682">
            <v>0.13689999999999999</v>
          </cell>
          <cell r="J1682">
            <v>4.4299999999999999E-2</v>
          </cell>
        </row>
        <row r="1683">
          <cell r="B1683" t="str">
            <v>LY-209</v>
          </cell>
          <cell r="C1683" t="str">
            <v>ESP</v>
          </cell>
          <cell r="D1683">
            <v>44944</v>
          </cell>
          <cell r="E1683">
            <v>0.58333333333333337</v>
          </cell>
          <cell r="F1683">
            <v>2.0299999999999999E-2</v>
          </cell>
          <cell r="G1683"/>
          <cell r="H1683">
            <v>1.7000000000000001E-2</v>
          </cell>
          <cell r="I1683">
            <v>0.12239999999999999</v>
          </cell>
          <cell r="J1683">
            <v>5.28E-2</v>
          </cell>
        </row>
        <row r="1684">
          <cell r="B1684" t="str">
            <v>CY-26</v>
          </cell>
          <cell r="C1684" t="str">
            <v>ESP</v>
          </cell>
          <cell r="D1684">
            <v>44945</v>
          </cell>
          <cell r="E1684">
            <v>0.33680555555555558</v>
          </cell>
          <cell r="F1684">
            <v>2.4500000000000001E-2</v>
          </cell>
          <cell r="G1684"/>
          <cell r="H1684">
            <v>0.10979999999999999</v>
          </cell>
          <cell r="I1684">
            <v>1.2385999999999999</v>
          </cell>
          <cell r="J1684">
            <v>1.1655</v>
          </cell>
        </row>
        <row r="1685">
          <cell r="B1685" t="str">
            <v>LY-260</v>
          </cell>
          <cell r="C1685" t="str">
            <v>ESP</v>
          </cell>
          <cell r="D1685">
            <v>44945</v>
          </cell>
          <cell r="E1685">
            <v>0.34722222222222227</v>
          </cell>
          <cell r="F1685">
            <v>3.9100000000000003E-2</v>
          </cell>
          <cell r="G1685"/>
          <cell r="H1685">
            <v>2.92E-2</v>
          </cell>
          <cell r="I1685">
            <v>5.8099999999999999E-2</v>
          </cell>
          <cell r="J1685">
            <v>1.7899999999999999E-2</v>
          </cell>
        </row>
        <row r="1686">
          <cell r="B1686" t="str">
            <v>LY-066</v>
          </cell>
          <cell r="C1686" t="str">
            <v>ESP</v>
          </cell>
          <cell r="D1686">
            <v>44945</v>
          </cell>
          <cell r="E1686">
            <v>0.57638888888888895</v>
          </cell>
          <cell r="F1686">
            <v>1.12E-2</v>
          </cell>
          <cell r="G1686"/>
          <cell r="H1686">
            <v>8.8999999999999999E-3</v>
          </cell>
          <cell r="I1686">
            <v>3.5799999999999998E-2</v>
          </cell>
          <cell r="J1686">
            <v>1.8599999999999998E-2</v>
          </cell>
        </row>
        <row r="1687">
          <cell r="B1687" t="str">
            <v>LY-277</v>
          </cell>
          <cell r="C1687" t="str">
            <v>ESP</v>
          </cell>
          <cell r="D1687">
            <v>44945</v>
          </cell>
          <cell r="E1687">
            <v>0.58333333333333337</v>
          </cell>
          <cell r="F1687">
            <v>8.3000000000000001E-3</v>
          </cell>
          <cell r="G1687"/>
          <cell r="H1687">
            <v>1.2999999999999999E-2</v>
          </cell>
          <cell r="I1687">
            <v>0.1371</v>
          </cell>
          <cell r="J1687">
            <v>0.193</v>
          </cell>
        </row>
        <row r="1688">
          <cell r="B1688" t="str">
            <v>MN-25</v>
          </cell>
          <cell r="C1688" t="str">
            <v>ESP</v>
          </cell>
          <cell r="D1688">
            <v>44946</v>
          </cell>
          <cell r="E1688">
            <v>0.34861111111111115</v>
          </cell>
          <cell r="F1688">
            <v>3.2199999999999999E-2</v>
          </cell>
          <cell r="G1688"/>
          <cell r="H1688">
            <v>2.9499999999999998E-2</v>
          </cell>
          <cell r="I1688">
            <v>0.25679999999999997</v>
          </cell>
          <cell r="J1688">
            <v>0.1832</v>
          </cell>
        </row>
        <row r="1689">
          <cell r="B1689" t="str">
            <v>LY-251</v>
          </cell>
          <cell r="C1689" t="str">
            <v>ESP</v>
          </cell>
          <cell r="D1689">
            <v>44946</v>
          </cell>
          <cell r="E1689">
            <v>0.3298611111111111</v>
          </cell>
          <cell r="F1689">
            <v>1.5513999999999999</v>
          </cell>
          <cell r="G1689"/>
          <cell r="H1689">
            <v>4.8512000000000004</v>
          </cell>
          <cell r="I1689">
            <v>1.7161</v>
          </cell>
          <cell r="J1689">
            <v>0.54900000000000004</v>
          </cell>
        </row>
        <row r="1690">
          <cell r="B1690" t="str">
            <v>MN-17</v>
          </cell>
          <cell r="C1690" t="str">
            <v>ESP</v>
          </cell>
          <cell r="D1690">
            <v>44946</v>
          </cell>
          <cell r="E1690">
            <v>0.57638888888888895</v>
          </cell>
          <cell r="F1690">
            <v>1.6500000000000001E-2</v>
          </cell>
          <cell r="G1690"/>
          <cell r="H1690">
            <v>1.0200000000000001E-2</v>
          </cell>
          <cell r="I1690">
            <v>1.72E-2</v>
          </cell>
          <cell r="J1690">
            <v>1.66E-2</v>
          </cell>
        </row>
        <row r="1691">
          <cell r="B1691" t="str">
            <v>MN-95</v>
          </cell>
          <cell r="C1691" t="str">
            <v>ESP</v>
          </cell>
          <cell r="D1691">
            <v>44946</v>
          </cell>
          <cell r="E1691">
            <v>0.58333333333333337</v>
          </cell>
          <cell r="F1691">
            <v>2.5600000000000001E-2</v>
          </cell>
          <cell r="G1691"/>
          <cell r="H1691">
            <v>2.2599999999999999E-2</v>
          </cell>
          <cell r="I1691">
            <v>5.0599999999999999E-2</v>
          </cell>
          <cell r="J1691">
            <v>2.5000000000000001E-2</v>
          </cell>
        </row>
        <row r="1692">
          <cell r="B1692" t="str">
            <v>LY-201</v>
          </cell>
          <cell r="C1692" t="str">
            <v>ESP</v>
          </cell>
          <cell r="D1692">
            <v>44947</v>
          </cell>
          <cell r="E1692">
            <v>0.34027777777777773</v>
          </cell>
          <cell r="F1692">
            <v>1.6199999999999999E-2</v>
          </cell>
          <cell r="G1692"/>
          <cell r="H1692">
            <v>1.44E-2</v>
          </cell>
          <cell r="I1692">
            <v>3.4299999999999997E-2</v>
          </cell>
          <cell r="J1692">
            <v>2.29E-2</v>
          </cell>
        </row>
        <row r="1693">
          <cell r="B1693" t="str">
            <v>LY-201</v>
          </cell>
          <cell r="C1693" t="str">
            <v>ESP</v>
          </cell>
          <cell r="D1693">
            <v>44584</v>
          </cell>
          <cell r="E1693">
            <v>0.34027777777777773</v>
          </cell>
          <cell r="F1693">
            <v>4.9399999999999999E-2</v>
          </cell>
          <cell r="G1693"/>
          <cell r="H1693">
            <v>1.5100000000000001E-2</v>
          </cell>
          <cell r="I1693">
            <v>3.9100000000000003E-2</v>
          </cell>
          <cell r="J1693">
            <v>2.6200000000000001E-2</v>
          </cell>
        </row>
        <row r="1694">
          <cell r="B1694" t="str">
            <v>MN-94</v>
          </cell>
          <cell r="C1694" t="str">
            <v>ESP</v>
          </cell>
          <cell r="D1694">
            <v>44947</v>
          </cell>
          <cell r="E1694">
            <v>0.33333333333333331</v>
          </cell>
          <cell r="F1694">
            <v>5.3600000000000002E-2</v>
          </cell>
          <cell r="G1694"/>
          <cell r="H1694">
            <v>2.1399999999999999E-2</v>
          </cell>
          <cell r="I1694">
            <v>4.5499999999999999E-2</v>
          </cell>
          <cell r="J1694">
            <v>6.7100000000000007E-2</v>
          </cell>
        </row>
        <row r="1695">
          <cell r="B1695" t="str">
            <v>MN-94</v>
          </cell>
          <cell r="C1695" t="str">
            <v>ESP</v>
          </cell>
          <cell r="D1695">
            <v>44949</v>
          </cell>
          <cell r="E1695">
            <v>0.33333333333333331</v>
          </cell>
          <cell r="F1695">
            <v>3.8899999999999997E-2</v>
          </cell>
          <cell r="G1695"/>
          <cell r="H1695">
            <v>5.9299999999999999E-2</v>
          </cell>
          <cell r="I1695">
            <v>9.1499999999999998E-2</v>
          </cell>
          <cell r="J1695">
            <v>0.06</v>
          </cell>
        </row>
        <row r="1696">
          <cell r="B1696" t="str">
            <v>MN-92</v>
          </cell>
          <cell r="C1696" t="str">
            <v>ESP</v>
          </cell>
          <cell r="D1696">
            <v>44949</v>
          </cell>
          <cell r="E1696">
            <v>0.34722222222222227</v>
          </cell>
          <cell r="F1696">
            <v>6.7000000000000002E-3</v>
          </cell>
          <cell r="G1696"/>
          <cell r="H1696">
            <v>6.0000000000000001E-3</v>
          </cell>
          <cell r="I1696">
            <v>2.41E-2</v>
          </cell>
          <cell r="J1696">
            <v>2.81E-2</v>
          </cell>
        </row>
        <row r="1697">
          <cell r="B1697" t="str">
            <v>MN-57</v>
          </cell>
          <cell r="C1697" t="str">
            <v>ESP</v>
          </cell>
          <cell r="D1697">
            <v>44949</v>
          </cell>
          <cell r="E1697">
            <v>0.3576388888888889</v>
          </cell>
          <cell r="F1697">
            <v>4.3E-3</v>
          </cell>
          <cell r="G1697"/>
          <cell r="H1697">
            <v>9.4000000000000004E-3</v>
          </cell>
          <cell r="I1697">
            <v>7.0000000000000001E-3</v>
          </cell>
          <cell r="J1697">
            <v>3.8999999999999998E-3</v>
          </cell>
        </row>
        <row r="1698">
          <cell r="B1698" t="str">
            <v>LY-151</v>
          </cell>
          <cell r="C1698" t="str">
            <v>ESP</v>
          </cell>
          <cell r="D1698">
            <v>44949</v>
          </cell>
          <cell r="E1698">
            <v>0.57638888888888895</v>
          </cell>
          <cell r="F1698">
            <v>0.1845</v>
          </cell>
          <cell r="G1698"/>
          <cell r="H1698">
            <v>0.2288</v>
          </cell>
          <cell r="I1698">
            <v>0.28149999999999997</v>
          </cell>
          <cell r="J1698">
            <v>7.5499999999999998E-2</v>
          </cell>
        </row>
        <row r="1699">
          <cell r="B1699" t="str">
            <v>LY-209</v>
          </cell>
          <cell r="C1699" t="str">
            <v>ESP</v>
          </cell>
          <cell r="D1699">
            <v>44949</v>
          </cell>
          <cell r="E1699">
            <v>0.58194444444444449</v>
          </cell>
          <cell r="F1699">
            <v>1.6500000000000001E-2</v>
          </cell>
          <cell r="G1699"/>
          <cell r="H1699">
            <v>2.3900000000000001E-2</v>
          </cell>
          <cell r="I1699">
            <v>0.25019999999999998</v>
          </cell>
          <cell r="J1699">
            <v>0.1062</v>
          </cell>
        </row>
        <row r="1700">
          <cell r="B1700" t="str">
            <v>MN-84</v>
          </cell>
          <cell r="C1700" t="str">
            <v>ESP</v>
          </cell>
          <cell r="D1700">
            <v>44950</v>
          </cell>
          <cell r="E1700">
            <v>0.3576388888888889</v>
          </cell>
          <cell r="F1700">
            <v>1.7399999999999999E-2</v>
          </cell>
          <cell r="G1700"/>
          <cell r="H1700">
            <v>1.12E-2</v>
          </cell>
          <cell r="I1700">
            <v>3.2000000000000001E-2</v>
          </cell>
          <cell r="J1700">
            <v>1.46E-2</v>
          </cell>
        </row>
        <row r="1701">
          <cell r="B1701" t="str">
            <v>MN-94</v>
          </cell>
          <cell r="C1701" t="str">
            <v>ESP</v>
          </cell>
          <cell r="D1701">
            <v>44951</v>
          </cell>
          <cell r="E1701">
            <v>0.35069444444444442</v>
          </cell>
          <cell r="F1701">
            <v>7.3000000000000001E-3</v>
          </cell>
          <cell r="G1701"/>
          <cell r="H1701">
            <v>1.0699999999999999E-2</v>
          </cell>
          <cell r="I1701">
            <v>2.8299999999999999E-2</v>
          </cell>
          <cell r="J1701">
            <v>3.2300000000000002E-2</v>
          </cell>
        </row>
        <row r="1702">
          <cell r="B1702" t="str">
            <v>MN-94</v>
          </cell>
          <cell r="C1702" t="str">
            <v>ESP</v>
          </cell>
          <cell r="D1702">
            <v>44952</v>
          </cell>
          <cell r="E1702">
            <v>0.32291666666666669</v>
          </cell>
          <cell r="F1702">
            <v>9.4000000000000004E-3</v>
          </cell>
          <cell r="G1702"/>
          <cell r="H1702">
            <v>6.4999999999999997E-3</v>
          </cell>
          <cell r="I1702">
            <v>3.49E-2</v>
          </cell>
          <cell r="J1702">
            <v>5.33E-2</v>
          </cell>
        </row>
        <row r="1703">
          <cell r="B1703" t="str">
            <v>CY-15</v>
          </cell>
          <cell r="C1703" t="str">
            <v>ESP</v>
          </cell>
          <cell r="D1703">
            <v>44951</v>
          </cell>
          <cell r="E1703">
            <v>0.59583333333333333</v>
          </cell>
          <cell r="F1703">
            <v>4.7899999999999998E-2</v>
          </cell>
          <cell r="G1703"/>
          <cell r="H1703">
            <v>0.17849999999999999</v>
          </cell>
          <cell r="I1703">
            <v>0.20549999999999999</v>
          </cell>
          <cell r="J1703">
            <v>0.14649999999999999</v>
          </cell>
        </row>
        <row r="1704">
          <cell r="B1704" t="str">
            <v>LY-175</v>
          </cell>
          <cell r="C1704" t="str">
            <v>ESP</v>
          </cell>
          <cell r="D1704">
            <v>44952</v>
          </cell>
          <cell r="E1704">
            <v>0.34027777777777773</v>
          </cell>
          <cell r="F1704">
            <v>0.42849999999999999</v>
          </cell>
          <cell r="G1704"/>
          <cell r="H1704">
            <v>0.25209999999999999</v>
          </cell>
          <cell r="I1704">
            <v>0.37790000000000001</v>
          </cell>
          <cell r="J1704">
            <v>0.22470000000000001</v>
          </cell>
        </row>
        <row r="1705">
          <cell r="B1705" t="str">
            <v>MN-63</v>
          </cell>
          <cell r="C1705" t="str">
            <v>ESP</v>
          </cell>
          <cell r="D1705">
            <v>44952</v>
          </cell>
          <cell r="E1705">
            <v>0.35416666666666669</v>
          </cell>
          <cell r="F1705">
            <v>3.4000000000000002E-2</v>
          </cell>
          <cell r="G1705"/>
          <cell r="H1705">
            <v>5.67E-2</v>
          </cell>
          <cell r="I1705">
            <v>6.93E-2</v>
          </cell>
          <cell r="J1705">
            <v>3.6499999999999998E-2</v>
          </cell>
        </row>
        <row r="1706">
          <cell r="B1706" t="str">
            <v>LY-209</v>
          </cell>
          <cell r="C1706" t="str">
            <v>ESP</v>
          </cell>
          <cell r="D1706">
            <v>44952</v>
          </cell>
          <cell r="E1706">
            <v>0.58333333333333337</v>
          </cell>
          <cell r="F1706">
            <v>1.8200000000000001E-2</v>
          </cell>
          <cell r="G1706"/>
          <cell r="H1706">
            <v>2.2599999999999999E-2</v>
          </cell>
          <cell r="I1706">
            <v>0.1207</v>
          </cell>
          <cell r="J1706">
            <v>4.3400000000000001E-2</v>
          </cell>
        </row>
        <row r="1707">
          <cell r="B1707" t="str">
            <v>LY-151</v>
          </cell>
          <cell r="C1707" t="str">
            <v>ESP</v>
          </cell>
          <cell r="D1707">
            <v>44952</v>
          </cell>
          <cell r="E1707">
            <v>0.57986111111111105</v>
          </cell>
          <cell r="F1707">
            <v>9.1700000000000004E-2</v>
          </cell>
          <cell r="G1707"/>
          <cell r="H1707">
            <v>0.1031</v>
          </cell>
          <cell r="I1707">
            <v>0.13539999999999999</v>
          </cell>
          <cell r="J1707">
            <v>3.5799999999999998E-2</v>
          </cell>
        </row>
        <row r="1708">
          <cell r="B1708" t="str">
            <v>MN-99</v>
          </cell>
          <cell r="C1708" t="str">
            <v>ESP</v>
          </cell>
          <cell r="D1708">
            <v>44953</v>
          </cell>
          <cell r="E1708">
            <v>0.34027777777777773</v>
          </cell>
          <cell r="F1708">
            <v>1.7299999999999999E-2</v>
          </cell>
          <cell r="G1708"/>
          <cell r="H1708">
            <v>2.3E-2</v>
          </cell>
          <cell r="I1708">
            <v>3.9399999999999998E-2</v>
          </cell>
          <cell r="J1708">
            <v>2.7199999999999998E-2</v>
          </cell>
        </row>
        <row r="1709">
          <cell r="B1709" t="str">
            <v>MN-97</v>
          </cell>
          <cell r="C1709" t="str">
            <v>ESP</v>
          </cell>
          <cell r="D1709">
            <v>44953</v>
          </cell>
          <cell r="E1709">
            <v>0.34375</v>
          </cell>
          <cell r="F1709">
            <v>8.3000000000000001E-3</v>
          </cell>
          <cell r="G1709"/>
          <cell r="H1709">
            <v>3.2000000000000002E-3</v>
          </cell>
          <cell r="I1709">
            <v>2.6100000000000002E-2</v>
          </cell>
          <cell r="J1709">
            <v>3.0300000000000001E-2</v>
          </cell>
        </row>
        <row r="1710">
          <cell r="B1710" t="str">
            <v>MN-55</v>
          </cell>
          <cell r="C1710" t="str">
            <v>ESP</v>
          </cell>
          <cell r="D1710">
            <v>44953</v>
          </cell>
          <cell r="E1710">
            <v>0.58333333333333337</v>
          </cell>
          <cell r="F1710">
            <v>2.5999999999999999E-2</v>
          </cell>
          <cell r="G1710"/>
          <cell r="H1710">
            <v>1.2500000000000001E-2</v>
          </cell>
          <cell r="I1710">
            <v>1.8499999999999999E-2</v>
          </cell>
          <cell r="J1710">
            <v>1.01E-2</v>
          </cell>
        </row>
        <row r="1711">
          <cell r="B1711" t="str">
            <v>MN-79</v>
          </cell>
          <cell r="C1711" t="str">
            <v>ESP</v>
          </cell>
          <cell r="D1711">
            <v>44953</v>
          </cell>
          <cell r="E1711">
            <v>0.58680555555555558</v>
          </cell>
          <cell r="F1711">
            <v>1.5699999999999999E-2</v>
          </cell>
          <cell r="G1711"/>
          <cell r="H1711">
            <v>1.8200000000000001E-2</v>
          </cell>
          <cell r="I1711">
            <v>2.7E-2</v>
          </cell>
          <cell r="J1711">
            <v>2.18E-2</v>
          </cell>
        </row>
        <row r="1712">
          <cell r="B1712" t="str">
            <v>LY-195</v>
          </cell>
          <cell r="C1712" t="str">
            <v>BM</v>
          </cell>
          <cell r="D1712">
            <v>45026</v>
          </cell>
          <cell r="E1712">
            <v>0.41319444444444442</v>
          </cell>
          <cell r="F1712">
            <v>1.6899999999999998E-2</v>
          </cell>
          <cell r="G1712"/>
          <cell r="H1712">
            <v>8.3999999999999995E-3</v>
          </cell>
          <cell r="I1712">
            <v>1.0699999999999999E-2</v>
          </cell>
          <cell r="J1712">
            <v>9.2999999999999992E-3</v>
          </cell>
        </row>
        <row r="1713">
          <cell r="B1713" t="str">
            <v>CL-29</v>
          </cell>
          <cell r="C1713" t="str">
            <v>ESP</v>
          </cell>
          <cell r="D1713">
            <v>45026</v>
          </cell>
          <cell r="E1713">
            <v>0.44097222222222227</v>
          </cell>
          <cell r="F1713">
            <v>4.1000000000000002E-2</v>
          </cell>
          <cell r="G1713"/>
          <cell r="H1713">
            <v>3.39E-2</v>
          </cell>
          <cell r="I1713">
            <v>4.6800000000000001E-2</v>
          </cell>
          <cell r="J1713">
            <v>2.7300000000000001E-2</v>
          </cell>
        </row>
        <row r="1714">
          <cell r="B1714" t="str">
            <v>CL-36</v>
          </cell>
          <cell r="C1714" t="str">
            <v>ESP</v>
          </cell>
          <cell r="D1714">
            <v>45027</v>
          </cell>
          <cell r="E1714">
            <v>0.37152777777777773</v>
          </cell>
          <cell r="F1714">
            <v>3.4099999999999998E-2</v>
          </cell>
          <cell r="G1714"/>
          <cell r="H1714">
            <v>0.29949999999999999</v>
          </cell>
          <cell r="I1714">
            <v>0.3029</v>
          </cell>
          <cell r="J1714">
            <v>0.10059999999999999</v>
          </cell>
        </row>
        <row r="1715">
          <cell r="B1715" t="str">
            <v>MN-006</v>
          </cell>
          <cell r="C1715" t="str">
            <v>ESP</v>
          </cell>
          <cell r="D1715">
            <v>45027</v>
          </cell>
          <cell r="E1715">
            <v>0.58333333333333337</v>
          </cell>
          <cell r="F1715">
            <v>0.12189999999999999</v>
          </cell>
          <cell r="G1715"/>
          <cell r="H1715">
            <v>8.1000000000000003E-2</v>
          </cell>
          <cell r="I1715">
            <v>6.0199999999999997E-2</v>
          </cell>
          <cell r="J1715">
            <v>1.8700000000000001E-2</v>
          </cell>
        </row>
        <row r="1716">
          <cell r="B1716" t="str">
            <v>LY-195</v>
          </cell>
          <cell r="C1716" t="str">
            <v>BM</v>
          </cell>
          <cell r="D1716">
            <v>45027</v>
          </cell>
          <cell r="E1716">
            <v>0.33333333333333331</v>
          </cell>
          <cell r="F1716">
            <v>4.48E-2</v>
          </cell>
          <cell r="G1716"/>
          <cell r="H1716">
            <v>2.29E-2</v>
          </cell>
          <cell r="I1716">
            <v>3.1399999999999997E-2</v>
          </cell>
          <cell r="J1716">
            <v>8.3299999999999999E-2</v>
          </cell>
        </row>
        <row r="1717">
          <cell r="B1717" t="str">
            <v>MN-99</v>
          </cell>
          <cell r="C1717" t="str">
            <v>ESP</v>
          </cell>
          <cell r="D1717">
            <v>45028</v>
          </cell>
          <cell r="E1717">
            <v>0.36249999999999999</v>
          </cell>
          <cell r="F1717">
            <v>1.26E-2</v>
          </cell>
          <cell r="G1717"/>
          <cell r="H1717">
            <v>2.92E-2</v>
          </cell>
          <cell r="I1717">
            <v>4.9799999999999997E-2</v>
          </cell>
          <cell r="J1717">
            <v>2.86E-2</v>
          </cell>
        </row>
        <row r="1718">
          <cell r="B1718" t="str">
            <v>LY-195</v>
          </cell>
          <cell r="C1718" t="str">
            <v>BM</v>
          </cell>
          <cell r="D1718">
            <v>45028</v>
          </cell>
          <cell r="E1718">
            <v>0.3666666666666667</v>
          </cell>
          <cell r="F1718">
            <v>3.5700000000000003E-2</v>
          </cell>
          <cell r="G1718"/>
          <cell r="H1718">
            <v>4.8500000000000001E-2</v>
          </cell>
          <cell r="I1718">
            <v>3.4599999999999999E-2</v>
          </cell>
          <cell r="J1718">
            <v>2.3300000000000001E-2</v>
          </cell>
        </row>
        <row r="1719">
          <cell r="B1719" t="str">
            <v>LY-267</v>
          </cell>
          <cell r="C1719" t="str">
            <v>ESP</v>
          </cell>
          <cell r="D1719">
            <v>45028</v>
          </cell>
          <cell r="E1719">
            <v>0.58194444444444449</v>
          </cell>
          <cell r="F1719">
            <v>4.3900000000000002E-2</v>
          </cell>
          <cell r="G1719"/>
          <cell r="H1719">
            <v>3.8800000000000001E-2</v>
          </cell>
          <cell r="I1719">
            <v>2.06E-2</v>
          </cell>
          <cell r="J1719">
            <v>9.9000000000000008E-3</v>
          </cell>
        </row>
        <row r="1720">
          <cell r="B1720" t="str">
            <v>LY-197</v>
          </cell>
          <cell r="C1720" t="str">
            <v>ESP</v>
          </cell>
          <cell r="D1720">
            <v>45028</v>
          </cell>
          <cell r="E1720">
            <v>0.58611111111111114</v>
          </cell>
          <cell r="F1720">
            <v>3.8999999999999998E-3</v>
          </cell>
          <cell r="G1720"/>
          <cell r="H1720">
            <v>6.0000000000000001E-3</v>
          </cell>
          <cell r="I1720">
            <v>3.49E-2</v>
          </cell>
          <cell r="J1720">
            <v>2.9000000000000001E-2</v>
          </cell>
        </row>
        <row r="1721">
          <cell r="B1721" t="str">
            <v>CV-007</v>
          </cell>
          <cell r="C1721" t="str">
            <v>ESP</v>
          </cell>
          <cell r="D1721">
            <v>45029</v>
          </cell>
          <cell r="E1721">
            <v>0.36805555555555558</v>
          </cell>
          <cell r="F1721">
            <v>0.1134</v>
          </cell>
          <cell r="G1721"/>
          <cell r="H1721">
            <v>0.1394</v>
          </cell>
          <cell r="I1721">
            <v>9.7100000000000006E-2</v>
          </cell>
          <cell r="J1721">
            <v>3.0499999999999999E-2</v>
          </cell>
        </row>
        <row r="1722">
          <cell r="B1722" t="str">
            <v>RD-16</v>
          </cell>
          <cell r="C1722" t="str">
            <v>ESP</v>
          </cell>
          <cell r="D1722">
            <v>45029</v>
          </cell>
          <cell r="E1722">
            <v>0.36249999999999999</v>
          </cell>
          <cell r="F1722">
            <v>2.1299999999999999E-2</v>
          </cell>
          <cell r="G1722"/>
          <cell r="H1722">
            <v>2.75E-2</v>
          </cell>
          <cell r="I1722">
            <v>0.25879999999999997</v>
          </cell>
          <cell r="J1722">
            <v>9.7500000000000003E-2</v>
          </cell>
        </row>
        <row r="1723">
          <cell r="B1723" t="str">
            <v>RD-003</v>
          </cell>
          <cell r="C1723" t="str">
            <v>ESP</v>
          </cell>
          <cell r="D1723">
            <v>45029</v>
          </cell>
          <cell r="E1723">
            <v>0.57986111111111105</v>
          </cell>
          <cell r="F1723">
            <v>6.3799999999999996E-2</v>
          </cell>
          <cell r="G1723"/>
          <cell r="H1723">
            <v>5.4199999999999998E-2</v>
          </cell>
          <cell r="I1723">
            <v>0.04</v>
          </cell>
          <cell r="J1723">
            <v>1.29E-2</v>
          </cell>
        </row>
        <row r="1724">
          <cell r="B1724" t="str">
            <v>CV-004</v>
          </cell>
          <cell r="C1724" t="str">
            <v>ESP</v>
          </cell>
          <cell r="D1724">
            <v>45029</v>
          </cell>
          <cell r="E1724">
            <v>0.59027777777777779</v>
          </cell>
          <cell r="F1724">
            <v>6.4999999999999997E-3</v>
          </cell>
          <cell r="G1724"/>
          <cell r="H1724">
            <v>8.0999999999999996E-3</v>
          </cell>
          <cell r="I1724">
            <v>2.8500000000000001E-2</v>
          </cell>
          <cell r="J1724">
            <v>2.0899999999999998E-2</v>
          </cell>
        </row>
        <row r="1725">
          <cell r="B1725" t="str">
            <v>MN-43</v>
          </cell>
          <cell r="C1725" t="str">
            <v>ESP</v>
          </cell>
          <cell r="D1725">
            <v>45030</v>
          </cell>
          <cell r="E1725">
            <v>0.35416666666666669</v>
          </cell>
          <cell r="F1725">
            <v>7.1000000000000004E-3</v>
          </cell>
          <cell r="G1725"/>
          <cell r="H1725">
            <v>5.0200000000000002E-2</v>
          </cell>
          <cell r="I1725">
            <v>7.6600000000000001E-2</v>
          </cell>
          <cell r="J1725">
            <v>1.8100000000000002E-2</v>
          </cell>
        </row>
        <row r="1726">
          <cell r="B1726" t="str">
            <v>MN-29</v>
          </cell>
          <cell r="C1726" t="str">
            <v>ESP</v>
          </cell>
          <cell r="D1726">
            <v>45030</v>
          </cell>
          <cell r="E1726">
            <v>0.3527777777777778</v>
          </cell>
          <cell r="F1726">
            <v>2.6499999999999999E-2</v>
          </cell>
          <cell r="G1726"/>
          <cell r="H1726">
            <v>1.6199999999999999E-2</v>
          </cell>
          <cell r="I1726">
            <v>6.4299999999999996E-2</v>
          </cell>
          <cell r="J1726">
            <v>2.1499999999999998E-2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7DF6-637D-4089-B54D-AC8590C2319B}">
  <dimension ref="B2:V365"/>
  <sheetViews>
    <sheetView tabSelected="1" workbookViewId="0">
      <selection activeCell="P2" sqref="P2"/>
    </sheetView>
  </sheetViews>
  <sheetFormatPr baseColWidth="10" defaultRowHeight="15" x14ac:dyDescent="0.25"/>
  <sheetData>
    <row r="2" spans="2:22" ht="131.25" x14ac:dyDescent="0.25">
      <c r="B2" s="1" t="s">
        <v>310</v>
      </c>
      <c r="C2" s="1" t="s">
        <v>211</v>
      </c>
      <c r="D2" s="1" t="s">
        <v>212</v>
      </c>
      <c r="E2" s="1" t="s">
        <v>213</v>
      </c>
      <c r="F2" s="2" t="s">
        <v>214</v>
      </c>
      <c r="G2" s="1" t="s">
        <v>215</v>
      </c>
      <c r="H2" s="3" t="s">
        <v>311</v>
      </c>
      <c r="I2" s="4" t="s">
        <v>216</v>
      </c>
      <c r="J2" s="4" t="s">
        <v>217</v>
      </c>
      <c r="K2" s="4" t="s">
        <v>218</v>
      </c>
      <c r="L2" s="5" t="s">
        <v>219</v>
      </c>
      <c r="M2" s="4" t="s">
        <v>312</v>
      </c>
      <c r="N2" s="4" t="s">
        <v>313</v>
      </c>
      <c r="O2" s="1" t="s">
        <v>314</v>
      </c>
      <c r="P2" s="1" t="s">
        <v>220</v>
      </c>
      <c r="Q2" s="1" t="s">
        <v>221</v>
      </c>
      <c r="R2" s="1" t="s">
        <v>222</v>
      </c>
      <c r="S2" s="1" t="s">
        <v>223</v>
      </c>
      <c r="T2" s="1" t="s">
        <v>224</v>
      </c>
      <c r="U2" s="6" t="s">
        <v>225</v>
      </c>
      <c r="V2" s="1" t="s">
        <v>226</v>
      </c>
    </row>
    <row r="3" spans="2:22" ht="30" x14ac:dyDescent="0.25">
      <c r="B3" s="7">
        <v>466</v>
      </c>
      <c r="C3" s="7" t="s">
        <v>0</v>
      </c>
      <c r="D3" s="8" t="s">
        <v>227</v>
      </c>
      <c r="E3" s="7"/>
      <c r="F3" s="7" t="s">
        <v>281</v>
      </c>
      <c r="G3" s="9" t="s">
        <v>233</v>
      </c>
      <c r="H3" s="10">
        <v>44154</v>
      </c>
      <c r="I3" s="11">
        <v>7032.0003200000001</v>
      </c>
      <c r="J3" s="11">
        <v>56.709679999999935</v>
      </c>
      <c r="K3" s="11">
        <v>7088.71</v>
      </c>
      <c r="L3" s="12">
        <v>0.99199999999999999</v>
      </c>
      <c r="M3" s="11">
        <v>202.82</v>
      </c>
      <c r="N3" s="11">
        <v>281.42</v>
      </c>
      <c r="O3" s="13">
        <v>4.2799999999999998E-2</v>
      </c>
      <c r="P3" s="13"/>
      <c r="Q3" s="13">
        <v>0.2253</v>
      </c>
      <c r="R3" s="13"/>
      <c r="S3" s="13">
        <v>0.40570000000000001</v>
      </c>
      <c r="T3" s="13">
        <v>0.32619999999999999</v>
      </c>
      <c r="U3" s="14" t="s">
        <v>247</v>
      </c>
      <c r="V3" s="15">
        <v>1</v>
      </c>
    </row>
    <row r="4" spans="2:22" ht="30" x14ac:dyDescent="0.25">
      <c r="B4" s="7">
        <v>2179</v>
      </c>
      <c r="C4" s="7" t="s">
        <v>1</v>
      </c>
      <c r="D4" s="8" t="s">
        <v>227</v>
      </c>
      <c r="E4" s="7"/>
      <c r="F4" s="7" t="s">
        <v>288</v>
      </c>
      <c r="G4" s="9" t="s">
        <v>233</v>
      </c>
      <c r="H4" s="10">
        <v>45057</v>
      </c>
      <c r="I4" s="11">
        <f>K4*L4</f>
        <v>0</v>
      </c>
      <c r="J4" s="11">
        <f>K4-I4</f>
        <v>0</v>
      </c>
      <c r="K4" s="11">
        <f>IFERROR(IF([1]!Tabla1[[#This Row],[POZO]]="",K2,VLOOKUP(C4,[2]Sheet1!$B$3:$E$1048576,2,FALSE)),0)</f>
        <v>0</v>
      </c>
      <c r="L4" s="12">
        <v>0.9899</v>
      </c>
      <c r="M4" s="11">
        <v>180.48959278289064</v>
      </c>
      <c r="N4" s="11">
        <v>307.39671783490519</v>
      </c>
      <c r="O4" s="13">
        <v>4.5145631067961156E-2</v>
      </c>
      <c r="P4" s="13">
        <v>0.45</v>
      </c>
      <c r="Q4" s="13">
        <v>0.26262135922330099</v>
      </c>
      <c r="R4" s="13">
        <v>0.16359223300970874</v>
      </c>
      <c r="S4" s="13"/>
      <c r="T4" s="13">
        <v>7.8640776699029122E-2</v>
      </c>
      <c r="U4" s="14" t="s">
        <v>230</v>
      </c>
      <c r="V4" s="15">
        <f>SUM(O4:T4)</f>
        <v>1</v>
      </c>
    </row>
    <row r="5" spans="2:22" x14ac:dyDescent="0.25">
      <c r="B5" s="7">
        <v>435</v>
      </c>
      <c r="C5" s="7" t="s">
        <v>2</v>
      </c>
      <c r="D5" s="8" t="s">
        <v>227</v>
      </c>
      <c r="E5" s="7"/>
      <c r="F5" s="7" t="s">
        <v>304</v>
      </c>
      <c r="G5" s="9" t="s">
        <v>291</v>
      </c>
      <c r="H5" s="10">
        <v>44147</v>
      </c>
      <c r="I5" s="11">
        <v>49.725200000000001</v>
      </c>
      <c r="J5" s="11">
        <v>8.0947999999999993</v>
      </c>
      <c r="K5" s="11">
        <v>57.82</v>
      </c>
      <c r="L5" s="12">
        <v>0.86</v>
      </c>
      <c r="M5" s="11">
        <v>93.59</v>
      </c>
      <c r="N5" s="11">
        <v>96.69</v>
      </c>
      <c r="O5" s="13">
        <v>9.06E-2</v>
      </c>
      <c r="P5" s="13"/>
      <c r="Q5" s="13">
        <v>0.59530000000000005</v>
      </c>
      <c r="R5" s="13"/>
      <c r="S5" s="13">
        <v>0.20669999999999999</v>
      </c>
      <c r="T5" s="13">
        <v>0.1074</v>
      </c>
      <c r="U5" s="14" t="s">
        <v>247</v>
      </c>
      <c r="V5" s="15">
        <v>1</v>
      </c>
    </row>
    <row r="6" spans="2:22" x14ac:dyDescent="0.25">
      <c r="B6" s="7">
        <v>401</v>
      </c>
      <c r="C6" s="7" t="s">
        <v>3</v>
      </c>
      <c r="D6" s="8" t="s">
        <v>227</v>
      </c>
      <c r="E6" s="7"/>
      <c r="F6" s="7" t="s">
        <v>294</v>
      </c>
      <c r="G6" s="9" t="s">
        <v>291</v>
      </c>
      <c r="H6" s="10">
        <v>44138</v>
      </c>
      <c r="I6" s="11">
        <v>9216.7150000000001</v>
      </c>
      <c r="J6" s="11">
        <v>334.28499999999985</v>
      </c>
      <c r="K6" s="11">
        <v>9551</v>
      </c>
      <c r="L6" s="12">
        <v>0.96499999999999997</v>
      </c>
      <c r="M6" s="11">
        <v>144.25</v>
      </c>
      <c r="N6" s="11">
        <v>210.83</v>
      </c>
      <c r="O6" s="13">
        <v>0.56840000000000002</v>
      </c>
      <c r="P6" s="13"/>
      <c r="Q6" s="13">
        <v>0.1351</v>
      </c>
      <c r="R6" s="13"/>
      <c r="S6" s="13">
        <v>0.1137</v>
      </c>
      <c r="T6" s="13">
        <v>0.18290000000000001</v>
      </c>
      <c r="U6" s="14" t="s">
        <v>247</v>
      </c>
      <c r="V6" s="15">
        <v>1.0001</v>
      </c>
    </row>
    <row r="7" spans="2:22" ht="30" x14ac:dyDescent="0.25">
      <c r="B7" s="7">
        <v>364</v>
      </c>
      <c r="C7" s="7" t="s">
        <v>3</v>
      </c>
      <c r="D7" s="8" t="s">
        <v>227</v>
      </c>
      <c r="E7" s="7"/>
      <c r="F7" s="7" t="s">
        <v>294</v>
      </c>
      <c r="G7" s="9" t="s">
        <v>291</v>
      </c>
      <c r="H7" s="10">
        <v>44129</v>
      </c>
      <c r="I7" s="11">
        <v>9216.7150000000001</v>
      </c>
      <c r="J7" s="11">
        <v>334.28499999999985</v>
      </c>
      <c r="K7" s="11">
        <v>9551</v>
      </c>
      <c r="L7" s="12">
        <v>0.96499999999999997</v>
      </c>
      <c r="M7" s="11">
        <v>86.44</v>
      </c>
      <c r="N7" s="11">
        <v>87.54</v>
      </c>
      <c r="O7" s="13">
        <v>0.53120000000000001</v>
      </c>
      <c r="P7" s="13"/>
      <c r="Q7" s="13">
        <v>4.1000000000000002E-2</v>
      </c>
      <c r="R7" s="13"/>
      <c r="S7" s="13">
        <v>0.20069999999999999</v>
      </c>
      <c r="T7" s="13">
        <v>0.2271</v>
      </c>
      <c r="U7" s="14" t="s">
        <v>247</v>
      </c>
      <c r="V7" s="15">
        <v>1</v>
      </c>
    </row>
    <row r="8" spans="2:22" ht="30" x14ac:dyDescent="0.25">
      <c r="B8" s="7">
        <v>982</v>
      </c>
      <c r="C8" s="7" t="s">
        <v>4</v>
      </c>
      <c r="D8" s="8" t="s">
        <v>227</v>
      </c>
      <c r="E8" s="7"/>
      <c r="F8" s="7" t="s">
        <v>269</v>
      </c>
      <c r="G8" s="9" t="s">
        <v>291</v>
      </c>
      <c r="H8" s="10">
        <v>44294</v>
      </c>
      <c r="I8" s="11">
        <v>68.399999999999991</v>
      </c>
      <c r="J8" s="11">
        <v>121.60000000000001</v>
      </c>
      <c r="K8" s="11">
        <v>190</v>
      </c>
      <c r="L8" s="12">
        <v>0.36</v>
      </c>
      <c r="M8" s="11">
        <v>82.1</v>
      </c>
      <c r="N8" s="11">
        <v>485.5</v>
      </c>
      <c r="O8" s="13">
        <v>0.1077</v>
      </c>
      <c r="P8" s="13">
        <v>0.1923</v>
      </c>
      <c r="Q8" s="13">
        <v>0.3538</v>
      </c>
      <c r="R8" s="13">
        <v>0.21540000000000001</v>
      </c>
      <c r="S8" s="13"/>
      <c r="T8" s="13">
        <v>0.1308</v>
      </c>
      <c r="U8" s="14" t="s">
        <v>247</v>
      </c>
      <c r="V8" s="15">
        <v>1</v>
      </c>
    </row>
    <row r="9" spans="2:22" ht="30" x14ac:dyDescent="0.25">
      <c r="B9" s="7">
        <v>488</v>
      </c>
      <c r="C9" s="7" t="s">
        <v>5</v>
      </c>
      <c r="D9" s="8" t="s">
        <v>227</v>
      </c>
      <c r="E9" s="7"/>
      <c r="F9" s="7" t="s">
        <v>263</v>
      </c>
      <c r="G9" s="9" t="s">
        <v>233</v>
      </c>
      <c r="H9" s="10">
        <v>44160</v>
      </c>
      <c r="I9" s="11">
        <v>7345.36</v>
      </c>
      <c r="J9" s="11">
        <v>134.64000000000033</v>
      </c>
      <c r="K9" s="11">
        <v>7480</v>
      </c>
      <c r="L9" s="12">
        <v>0.98199999999999998</v>
      </c>
      <c r="M9" s="11">
        <v>229.53</v>
      </c>
      <c r="N9" s="11">
        <v>252.6</v>
      </c>
      <c r="O9" s="13">
        <v>0.36299999999999999</v>
      </c>
      <c r="P9" s="13"/>
      <c r="Q9" s="13">
        <v>0.30459999999999998</v>
      </c>
      <c r="R9" s="13"/>
      <c r="S9" s="13">
        <v>0.16719999999999999</v>
      </c>
      <c r="T9" s="13">
        <v>0.1653</v>
      </c>
      <c r="U9" s="14" t="s">
        <v>230</v>
      </c>
      <c r="V9" s="15">
        <v>1.0001</v>
      </c>
    </row>
    <row r="10" spans="2:22" x14ac:dyDescent="0.25">
      <c r="B10" s="7">
        <v>767</v>
      </c>
      <c r="C10" s="7" t="s">
        <v>5</v>
      </c>
      <c r="D10" s="8" t="s">
        <v>227</v>
      </c>
      <c r="E10" s="7"/>
      <c r="F10" s="7" t="s">
        <v>263</v>
      </c>
      <c r="G10" s="9" t="s">
        <v>233</v>
      </c>
      <c r="H10" s="10">
        <v>44235</v>
      </c>
      <c r="I10" s="11">
        <v>7345.36</v>
      </c>
      <c r="J10" s="11">
        <v>134.64000000000033</v>
      </c>
      <c r="K10" s="11">
        <v>7480</v>
      </c>
      <c r="L10" s="12">
        <v>0.98199999999999998</v>
      </c>
      <c r="M10" s="11">
        <v>111.93</v>
      </c>
      <c r="N10" s="11">
        <v>257.74</v>
      </c>
      <c r="O10" s="13">
        <v>0.75490000000000002</v>
      </c>
      <c r="P10" s="13"/>
      <c r="Q10" s="13">
        <v>0.19189999999999999</v>
      </c>
      <c r="R10" s="13"/>
      <c r="S10" s="13">
        <v>2.7E-2</v>
      </c>
      <c r="T10" s="13">
        <v>3.0499999999999999E-2</v>
      </c>
      <c r="U10" s="14" t="s">
        <v>230</v>
      </c>
      <c r="V10" s="15">
        <v>1.0043</v>
      </c>
    </row>
    <row r="11" spans="2:22" ht="30" x14ac:dyDescent="0.25">
      <c r="B11" s="7">
        <v>177</v>
      </c>
      <c r="C11" s="7" t="s">
        <v>5</v>
      </c>
      <c r="D11" s="8" t="s">
        <v>227</v>
      </c>
      <c r="E11" s="7"/>
      <c r="F11" s="7" t="s">
        <v>263</v>
      </c>
      <c r="G11" s="9" t="s">
        <v>233</v>
      </c>
      <c r="H11" s="10">
        <v>44062</v>
      </c>
      <c r="I11" s="11">
        <v>7345.36</v>
      </c>
      <c r="J11" s="11">
        <v>134.64000000000033</v>
      </c>
      <c r="K11" s="11">
        <v>7480</v>
      </c>
      <c r="L11" s="12">
        <v>0.98199999999999998</v>
      </c>
      <c r="M11" s="11">
        <v>96.54</v>
      </c>
      <c r="N11" s="11">
        <v>242.34</v>
      </c>
      <c r="O11" s="13">
        <v>0.67720000000000002</v>
      </c>
      <c r="P11" s="13"/>
      <c r="Q11" s="13">
        <v>0.19370000000000001</v>
      </c>
      <c r="R11" s="13"/>
      <c r="S11" s="13">
        <v>9.1600000000000001E-2</v>
      </c>
      <c r="T11" s="13">
        <v>3.7499999999999999E-2</v>
      </c>
      <c r="U11" s="14" t="s">
        <v>230</v>
      </c>
      <c r="V11" s="15">
        <v>1</v>
      </c>
    </row>
    <row r="12" spans="2:22" ht="30" x14ac:dyDescent="0.25">
      <c r="B12" s="7">
        <v>1102</v>
      </c>
      <c r="C12" s="7" t="s">
        <v>6</v>
      </c>
      <c r="D12" s="8" t="s">
        <v>227</v>
      </c>
      <c r="E12" s="7"/>
      <c r="F12" s="7" t="s">
        <v>240</v>
      </c>
      <c r="G12" s="9" t="s">
        <v>233</v>
      </c>
      <c r="H12" s="10">
        <v>44350</v>
      </c>
      <c r="I12" s="11">
        <v>9628.375</v>
      </c>
      <c r="J12" s="11">
        <v>146.625</v>
      </c>
      <c r="K12" s="11">
        <v>9775</v>
      </c>
      <c r="L12" s="12">
        <v>0.98499999999999999</v>
      </c>
      <c r="M12" s="11">
        <v>1533.32</v>
      </c>
      <c r="N12" s="11">
        <v>4977.3900000000003</v>
      </c>
      <c r="O12" s="13">
        <v>1.6400000000000001E-2</v>
      </c>
      <c r="P12" s="13">
        <v>0.1056</v>
      </c>
      <c r="Q12" s="13">
        <v>0.43109999999999998</v>
      </c>
      <c r="R12" s="13">
        <v>0.40200000000000002</v>
      </c>
      <c r="S12" s="13"/>
      <c r="T12" s="13">
        <v>4.4900000000000002E-2</v>
      </c>
      <c r="U12" s="14" t="s">
        <v>230</v>
      </c>
      <c r="V12" s="15">
        <v>1</v>
      </c>
    </row>
    <row r="13" spans="2:22" x14ac:dyDescent="0.25">
      <c r="B13" s="7">
        <v>1212</v>
      </c>
      <c r="C13" s="7" t="s">
        <v>6</v>
      </c>
      <c r="D13" s="8" t="s">
        <v>227</v>
      </c>
      <c r="E13" s="7"/>
      <c r="F13" s="7" t="s">
        <v>240</v>
      </c>
      <c r="G13" s="9" t="s">
        <v>233</v>
      </c>
      <c r="H13" s="10">
        <v>44425</v>
      </c>
      <c r="I13" s="11">
        <v>9628.375</v>
      </c>
      <c r="J13" s="11">
        <v>146.625</v>
      </c>
      <c r="K13" s="11">
        <v>9775</v>
      </c>
      <c r="L13" s="12">
        <v>0.98499999999999999</v>
      </c>
      <c r="M13" s="11">
        <v>135.36000000000001</v>
      </c>
      <c r="N13" s="11">
        <v>326.42</v>
      </c>
      <c r="O13" s="13">
        <v>2.9700000000000001E-2</v>
      </c>
      <c r="P13" s="13">
        <v>0.21679999999999999</v>
      </c>
      <c r="Q13" s="13">
        <v>0.56310000000000004</v>
      </c>
      <c r="R13" s="13">
        <v>0.15079999999999999</v>
      </c>
      <c r="S13" s="13"/>
      <c r="T13" s="13">
        <v>3.9699999999999999E-2</v>
      </c>
      <c r="U13" s="14" t="s">
        <v>230</v>
      </c>
      <c r="V13" s="15">
        <v>1.0001000000000002</v>
      </c>
    </row>
    <row r="14" spans="2:22" ht="30" x14ac:dyDescent="0.25">
      <c r="B14" s="7">
        <v>764</v>
      </c>
      <c r="C14" s="7" t="s">
        <v>7</v>
      </c>
      <c r="D14" s="8" t="s">
        <v>227</v>
      </c>
      <c r="E14" s="7"/>
      <c r="F14" s="7" t="s">
        <v>269</v>
      </c>
      <c r="G14" s="9" t="s">
        <v>233</v>
      </c>
      <c r="H14" s="10">
        <v>44235</v>
      </c>
      <c r="I14" s="11">
        <v>3361.3250000000003</v>
      </c>
      <c r="J14" s="11">
        <v>233.67499999999973</v>
      </c>
      <c r="K14" s="11">
        <v>3595</v>
      </c>
      <c r="L14" s="12">
        <v>0.93500000000000005</v>
      </c>
      <c r="M14" s="11">
        <v>386.43</v>
      </c>
      <c r="N14" s="11">
        <v>557.59</v>
      </c>
      <c r="O14" s="13">
        <v>0.39150000000000001</v>
      </c>
      <c r="P14" s="13"/>
      <c r="Q14" s="13">
        <v>0.5877</v>
      </c>
      <c r="R14" s="13"/>
      <c r="S14" s="13">
        <v>1.21E-2</v>
      </c>
      <c r="T14" s="13">
        <v>8.6999999999999994E-3</v>
      </c>
      <c r="U14" s="14" t="s">
        <v>247</v>
      </c>
      <c r="V14" s="15">
        <v>1</v>
      </c>
    </row>
    <row r="15" spans="2:22" ht="30" x14ac:dyDescent="0.25">
      <c r="B15" s="7">
        <v>673</v>
      </c>
      <c r="C15" s="7" t="s">
        <v>8</v>
      </c>
      <c r="D15" s="8" t="s">
        <v>227</v>
      </c>
      <c r="E15" s="7"/>
      <c r="F15" s="7" t="s">
        <v>276</v>
      </c>
      <c r="G15" s="9" t="s">
        <v>233</v>
      </c>
      <c r="H15" s="10">
        <v>44215</v>
      </c>
      <c r="I15" s="11">
        <v>6708.87</v>
      </c>
      <c r="J15" s="11">
        <v>236.13000000000011</v>
      </c>
      <c r="K15" s="11">
        <v>6945</v>
      </c>
      <c r="L15" s="12">
        <v>0.96599999999999997</v>
      </c>
      <c r="M15" s="11">
        <v>239.03</v>
      </c>
      <c r="N15" s="11">
        <v>867.35</v>
      </c>
      <c r="O15" s="13">
        <v>0.52270000000000005</v>
      </c>
      <c r="P15" s="13"/>
      <c r="Q15" s="13">
        <v>0.26800000000000002</v>
      </c>
      <c r="R15" s="13"/>
      <c r="S15" s="13">
        <v>0.1231</v>
      </c>
      <c r="T15" s="13">
        <v>8.6199999999999999E-2</v>
      </c>
      <c r="U15" s="14" t="s">
        <v>230</v>
      </c>
      <c r="V15" s="15">
        <v>1</v>
      </c>
    </row>
    <row r="16" spans="2:22" ht="30" x14ac:dyDescent="0.25">
      <c r="B16" s="7">
        <v>659</v>
      </c>
      <c r="C16" s="7" t="s">
        <v>9</v>
      </c>
      <c r="D16" s="8" t="s">
        <v>227</v>
      </c>
      <c r="E16" s="7"/>
      <c r="F16" s="7" t="s">
        <v>232</v>
      </c>
      <c r="G16" s="9" t="s">
        <v>233</v>
      </c>
      <c r="H16" s="10">
        <v>44210</v>
      </c>
      <c r="I16" s="11">
        <v>10432.1</v>
      </c>
      <c r="J16" s="11">
        <v>212.89999999999964</v>
      </c>
      <c r="K16" s="11">
        <v>10645</v>
      </c>
      <c r="L16" s="12">
        <v>0.98</v>
      </c>
      <c r="M16" s="11">
        <v>203.58</v>
      </c>
      <c r="N16" s="11">
        <v>310.77</v>
      </c>
      <c r="O16" s="13">
        <v>0.13819999999999999</v>
      </c>
      <c r="P16" s="13"/>
      <c r="Q16" s="13">
        <v>0.5766</v>
      </c>
      <c r="R16" s="13"/>
      <c r="S16" s="13">
        <v>0.21440000000000001</v>
      </c>
      <c r="T16" s="13">
        <v>7.0800000000000002E-2</v>
      </c>
      <c r="U16" s="14" t="s">
        <v>230</v>
      </c>
      <c r="V16" s="15">
        <v>1</v>
      </c>
    </row>
    <row r="17" spans="2:22" ht="30" x14ac:dyDescent="0.25">
      <c r="B17" s="7">
        <v>1104</v>
      </c>
      <c r="C17" s="7" t="s">
        <v>9</v>
      </c>
      <c r="D17" s="8" t="s">
        <v>227</v>
      </c>
      <c r="E17" s="7"/>
      <c r="F17" s="7" t="s">
        <v>232</v>
      </c>
      <c r="G17" s="9" t="s">
        <v>233</v>
      </c>
      <c r="H17" s="10">
        <v>44351</v>
      </c>
      <c r="I17" s="11">
        <v>10432.1</v>
      </c>
      <c r="J17" s="11">
        <v>212.89999999999964</v>
      </c>
      <c r="K17" s="11">
        <v>10645</v>
      </c>
      <c r="L17" s="12">
        <v>0.98</v>
      </c>
      <c r="M17" s="11">
        <v>191.37</v>
      </c>
      <c r="N17" s="11">
        <v>415.86</v>
      </c>
      <c r="O17" s="13">
        <v>5.6599999999999998E-2</v>
      </c>
      <c r="P17" s="13">
        <v>0.18940000000000001</v>
      </c>
      <c r="Q17" s="13">
        <v>0.43030000000000002</v>
      </c>
      <c r="R17" s="13">
        <v>0.29559999999999997</v>
      </c>
      <c r="S17" s="13"/>
      <c r="T17" s="13">
        <v>2.81E-2</v>
      </c>
      <c r="U17" s="14" t="s">
        <v>230</v>
      </c>
      <c r="V17" s="15">
        <v>1</v>
      </c>
    </row>
    <row r="18" spans="2:22" ht="30" x14ac:dyDescent="0.25">
      <c r="B18" s="7">
        <v>666</v>
      </c>
      <c r="C18" s="7" t="s">
        <v>10</v>
      </c>
      <c r="D18" s="8" t="s">
        <v>227</v>
      </c>
      <c r="E18" s="7"/>
      <c r="F18" s="7" t="s">
        <v>232</v>
      </c>
      <c r="G18" s="9" t="s">
        <v>233</v>
      </c>
      <c r="H18" s="10">
        <v>44210</v>
      </c>
      <c r="I18" s="11">
        <v>9653.06</v>
      </c>
      <c r="J18" s="11">
        <v>176.94000000000051</v>
      </c>
      <c r="K18" s="11">
        <v>9830</v>
      </c>
      <c r="L18" s="12">
        <v>0.98199999999999998</v>
      </c>
      <c r="M18" s="11">
        <v>83.85</v>
      </c>
      <c r="N18" s="11">
        <v>121.95</v>
      </c>
      <c r="O18" s="13">
        <v>0.127</v>
      </c>
      <c r="P18" s="13"/>
      <c r="Q18" s="13">
        <v>0.2223</v>
      </c>
      <c r="R18" s="13"/>
      <c r="S18" s="13">
        <v>0.21829999999999999</v>
      </c>
      <c r="T18" s="13">
        <v>0.43240000000000001</v>
      </c>
      <c r="U18" s="14" t="s">
        <v>247</v>
      </c>
      <c r="V18" s="15">
        <v>1</v>
      </c>
    </row>
    <row r="19" spans="2:22" ht="30" x14ac:dyDescent="0.25">
      <c r="B19" s="7">
        <v>194</v>
      </c>
      <c r="C19" s="7" t="s">
        <v>11</v>
      </c>
      <c r="D19" s="8" t="s">
        <v>227</v>
      </c>
      <c r="E19" s="7"/>
      <c r="F19" s="7" t="s">
        <v>263</v>
      </c>
      <c r="G19" s="9" t="s">
        <v>233</v>
      </c>
      <c r="H19" s="10">
        <v>44068</v>
      </c>
      <c r="I19" s="11">
        <v>2776.72</v>
      </c>
      <c r="J19" s="11">
        <v>68.2800000000002</v>
      </c>
      <c r="K19" s="11">
        <v>2845</v>
      </c>
      <c r="L19" s="12">
        <v>0.97599999999999998</v>
      </c>
      <c r="M19" s="11">
        <v>163.80000000000001</v>
      </c>
      <c r="N19" s="11">
        <v>392.6</v>
      </c>
      <c r="O19" s="13">
        <v>0.37730000000000002</v>
      </c>
      <c r="P19" s="13"/>
      <c r="Q19" s="13">
        <v>0.58789999999999998</v>
      </c>
      <c r="R19" s="13"/>
      <c r="S19" s="13">
        <v>2.0299999999999999E-2</v>
      </c>
      <c r="T19" s="13">
        <v>1.4500000000000001E-2</v>
      </c>
      <c r="U19" s="14" t="s">
        <v>230</v>
      </c>
      <c r="V19" s="15">
        <v>1</v>
      </c>
    </row>
    <row r="20" spans="2:22" ht="30" x14ac:dyDescent="0.25">
      <c r="B20" s="7">
        <v>522</v>
      </c>
      <c r="C20" s="7" t="s">
        <v>11</v>
      </c>
      <c r="D20" s="8" t="s">
        <v>227</v>
      </c>
      <c r="E20" s="7"/>
      <c r="F20" s="7" t="s">
        <v>263</v>
      </c>
      <c r="G20" s="9" t="s">
        <v>233</v>
      </c>
      <c r="H20" s="10">
        <v>44176</v>
      </c>
      <c r="I20" s="11">
        <v>2776.72</v>
      </c>
      <c r="J20" s="11">
        <v>68.2800000000002</v>
      </c>
      <c r="K20" s="11">
        <v>2845</v>
      </c>
      <c r="L20" s="12">
        <v>0.97599999999999998</v>
      </c>
      <c r="M20" s="11">
        <v>132.87</v>
      </c>
      <c r="N20" s="11">
        <v>192.21</v>
      </c>
      <c r="O20" s="13">
        <v>0.66800000000000004</v>
      </c>
      <c r="P20" s="13"/>
      <c r="Q20" s="13">
        <v>0.31419999999999998</v>
      </c>
      <c r="R20" s="13"/>
      <c r="S20" s="13">
        <v>9.7999999999999997E-3</v>
      </c>
      <c r="T20" s="13">
        <v>8.0000000000000002E-3</v>
      </c>
      <c r="U20" s="14" t="s">
        <v>247</v>
      </c>
      <c r="V20" s="15">
        <v>1</v>
      </c>
    </row>
    <row r="21" spans="2:22" ht="30" x14ac:dyDescent="0.25">
      <c r="B21" s="7">
        <v>189</v>
      </c>
      <c r="C21" s="7" t="s">
        <v>12</v>
      </c>
      <c r="D21" s="8" t="s">
        <v>227</v>
      </c>
      <c r="E21" s="7"/>
      <c r="F21" s="7" t="s">
        <v>260</v>
      </c>
      <c r="G21" s="9" t="s">
        <v>233</v>
      </c>
      <c r="H21" s="10">
        <v>44067</v>
      </c>
      <c r="I21" s="11">
        <v>3589.0614999999998</v>
      </c>
      <c r="J21" s="11">
        <v>125.9385000000002</v>
      </c>
      <c r="K21" s="11">
        <v>3715</v>
      </c>
      <c r="L21" s="12">
        <v>0.96609999999999996</v>
      </c>
      <c r="M21" s="11">
        <v>540.69000000000005</v>
      </c>
      <c r="N21" s="11">
        <v>963.84</v>
      </c>
      <c r="O21" s="13">
        <v>0.59670000000000001</v>
      </c>
      <c r="P21" s="13"/>
      <c r="Q21" s="13">
        <v>0.33410000000000001</v>
      </c>
      <c r="R21" s="13"/>
      <c r="S21" s="13">
        <v>4.5100000000000001E-2</v>
      </c>
      <c r="T21" s="13">
        <v>2.41E-2</v>
      </c>
      <c r="U21" s="14" t="s">
        <v>230</v>
      </c>
      <c r="V21" s="15">
        <v>1</v>
      </c>
    </row>
    <row r="22" spans="2:22" ht="30" x14ac:dyDescent="0.25">
      <c r="B22" s="7">
        <v>662</v>
      </c>
      <c r="C22" s="7" t="s">
        <v>13</v>
      </c>
      <c r="D22" s="8" t="s">
        <v>227</v>
      </c>
      <c r="E22" s="7"/>
      <c r="F22" s="7" t="s">
        <v>269</v>
      </c>
      <c r="G22" s="9" t="s">
        <v>233</v>
      </c>
      <c r="H22" s="10">
        <v>44211</v>
      </c>
      <c r="I22" s="11">
        <v>345.59999999999997</v>
      </c>
      <c r="J22" s="11">
        <v>134.40000000000003</v>
      </c>
      <c r="K22" s="11">
        <v>480</v>
      </c>
      <c r="L22" s="12">
        <v>0.72</v>
      </c>
      <c r="M22" s="11">
        <v>284.16000000000003</v>
      </c>
      <c r="N22" s="11">
        <v>622.92999999999995</v>
      </c>
      <c r="O22" s="13">
        <v>0.15629999999999999</v>
      </c>
      <c r="P22" s="13"/>
      <c r="Q22" s="13">
        <v>0.45379999999999998</v>
      </c>
      <c r="R22" s="13"/>
      <c r="S22" s="13">
        <v>0.22689999999999999</v>
      </c>
      <c r="T22" s="13">
        <v>0.16300000000000001</v>
      </c>
      <c r="U22" s="14" t="s">
        <v>230</v>
      </c>
      <c r="V22" s="15">
        <v>1</v>
      </c>
    </row>
    <row r="23" spans="2:22" ht="30" x14ac:dyDescent="0.25">
      <c r="B23" s="7">
        <v>1390</v>
      </c>
      <c r="C23" s="7" t="s">
        <v>14</v>
      </c>
      <c r="D23" s="8" t="s">
        <v>227</v>
      </c>
      <c r="E23" s="7"/>
      <c r="F23" s="7">
        <v>0</v>
      </c>
      <c r="G23" s="9" t="s">
        <v>233</v>
      </c>
      <c r="H23" s="10">
        <v>44586</v>
      </c>
      <c r="I23" s="11">
        <f>K23*L23</f>
        <v>3828.0104999999999</v>
      </c>
      <c r="J23" s="11">
        <f>K23-I23</f>
        <v>236.98950000000013</v>
      </c>
      <c r="K23" s="11">
        <v>4065</v>
      </c>
      <c r="L23" s="12">
        <v>0.94169999999999998</v>
      </c>
      <c r="M23" s="11">
        <v>385.8</v>
      </c>
      <c r="N23" s="11">
        <v>1786.51</v>
      </c>
      <c r="O23" s="13">
        <v>9.6600000000000005E-2</v>
      </c>
      <c r="P23" s="13">
        <v>0.81079999999999997</v>
      </c>
      <c r="Q23" s="13">
        <v>7.2800000000000004E-2</v>
      </c>
      <c r="R23" s="13">
        <v>1.6799999999999999E-2</v>
      </c>
      <c r="S23" s="13"/>
      <c r="T23" s="13">
        <v>3.0000000000000001E-3</v>
      </c>
      <c r="U23" s="14" t="s">
        <v>230</v>
      </c>
      <c r="V23" s="15">
        <f>SUM(O23:T23)</f>
        <v>1</v>
      </c>
    </row>
    <row r="24" spans="2:22" ht="30" x14ac:dyDescent="0.25">
      <c r="B24" s="7">
        <v>1392</v>
      </c>
      <c r="C24" s="7" t="s">
        <v>14</v>
      </c>
      <c r="D24" s="8" t="s">
        <v>227</v>
      </c>
      <c r="E24" s="7"/>
      <c r="F24" s="7">
        <v>0</v>
      </c>
      <c r="G24" s="9" t="s">
        <v>233</v>
      </c>
      <c r="H24" s="10">
        <v>44587</v>
      </c>
      <c r="I24" s="11">
        <f>K24*L24</f>
        <v>3828.0104999999999</v>
      </c>
      <c r="J24" s="11">
        <f>K24-I24</f>
        <v>236.98950000000013</v>
      </c>
      <c r="K24" s="11">
        <v>4065</v>
      </c>
      <c r="L24" s="12">
        <v>0.94169999999999998</v>
      </c>
      <c r="M24" s="11">
        <v>151.94</v>
      </c>
      <c r="N24" s="11">
        <v>362.45</v>
      </c>
      <c r="O24" s="13">
        <v>0.2059</v>
      </c>
      <c r="P24" s="13">
        <v>0.65180000000000005</v>
      </c>
      <c r="Q24" s="13">
        <v>9.1399999999999995E-2</v>
      </c>
      <c r="R24" s="13">
        <v>3.4000000000000002E-2</v>
      </c>
      <c r="S24" s="13"/>
      <c r="T24" s="13">
        <v>1.6899999999999998E-2</v>
      </c>
      <c r="U24" s="14" t="s">
        <v>230</v>
      </c>
      <c r="V24" s="15">
        <f>SUM(O24:T24)</f>
        <v>1</v>
      </c>
    </row>
    <row r="25" spans="2:22" ht="30" x14ac:dyDescent="0.25">
      <c r="B25" s="7">
        <v>1394</v>
      </c>
      <c r="C25" s="7" t="s">
        <v>14</v>
      </c>
      <c r="D25" s="8" t="s">
        <v>227</v>
      </c>
      <c r="E25" s="7"/>
      <c r="F25" s="7">
        <v>0</v>
      </c>
      <c r="G25" s="9" t="s">
        <v>233</v>
      </c>
      <c r="H25" s="10">
        <v>44588</v>
      </c>
      <c r="I25" s="11">
        <f>K25*L25</f>
        <v>3828.0104999999999</v>
      </c>
      <c r="J25" s="11">
        <f>K25-I25</f>
        <v>236.98950000000013</v>
      </c>
      <c r="K25" s="11">
        <v>4065</v>
      </c>
      <c r="L25" s="12">
        <v>0.94169999999999998</v>
      </c>
      <c r="M25" s="11">
        <v>114.51</v>
      </c>
      <c r="N25" s="11">
        <v>342.65</v>
      </c>
      <c r="O25" s="13">
        <v>0.17799999999999999</v>
      </c>
      <c r="P25" s="13">
        <v>0.72219999999999995</v>
      </c>
      <c r="Q25" s="13">
        <v>6.1699999999999998E-2</v>
      </c>
      <c r="R25" s="13">
        <v>2.4E-2</v>
      </c>
      <c r="S25" s="13"/>
      <c r="T25" s="13">
        <v>1.4E-2</v>
      </c>
      <c r="U25" s="14" t="s">
        <v>230</v>
      </c>
      <c r="V25" s="15">
        <f>SUM(O25:T25)</f>
        <v>0.9998999999999999</v>
      </c>
    </row>
    <row r="26" spans="2:22" ht="30" x14ac:dyDescent="0.25">
      <c r="B26" s="7">
        <v>744</v>
      </c>
      <c r="C26" s="7" t="s">
        <v>15</v>
      </c>
      <c r="D26" s="8" t="s">
        <v>227</v>
      </c>
      <c r="E26" s="7"/>
      <c r="F26" s="7" t="s">
        <v>282</v>
      </c>
      <c r="G26" s="9" t="s">
        <v>229</v>
      </c>
      <c r="H26" s="10">
        <v>44228</v>
      </c>
      <c r="I26" s="11">
        <v>888.31686000000002</v>
      </c>
      <c r="J26" s="11">
        <v>142.21313999999995</v>
      </c>
      <c r="K26" s="11">
        <v>1030.53</v>
      </c>
      <c r="L26" s="12">
        <v>0.86199999999999999</v>
      </c>
      <c r="M26" s="11">
        <v>199.07</v>
      </c>
      <c r="N26" s="11">
        <v>339.31</v>
      </c>
      <c r="O26" s="13">
        <v>0.19520000000000001</v>
      </c>
      <c r="P26" s="13"/>
      <c r="Q26" s="13">
        <v>0.223</v>
      </c>
      <c r="R26" s="13"/>
      <c r="S26" s="13">
        <v>0.27700000000000002</v>
      </c>
      <c r="T26" s="13">
        <v>0.30480000000000002</v>
      </c>
      <c r="U26" s="14" t="s">
        <v>247</v>
      </c>
      <c r="V26" s="15">
        <v>1</v>
      </c>
    </row>
    <row r="27" spans="2:22" ht="30" x14ac:dyDescent="0.25">
      <c r="B27" s="7">
        <v>752</v>
      </c>
      <c r="C27" s="7" t="s">
        <v>16</v>
      </c>
      <c r="D27" s="8" t="s">
        <v>227</v>
      </c>
      <c r="E27" s="7"/>
      <c r="F27" s="7" t="s">
        <v>248</v>
      </c>
      <c r="G27" s="9" t="s">
        <v>229</v>
      </c>
      <c r="H27" s="10">
        <v>44230</v>
      </c>
      <c r="I27" s="11">
        <v>29197.279033999999</v>
      </c>
      <c r="J27" s="11">
        <v>202.86096600000019</v>
      </c>
      <c r="K27" s="11">
        <v>29400.14</v>
      </c>
      <c r="L27" s="12">
        <v>0.99309999999999998</v>
      </c>
      <c r="M27" s="11">
        <v>1027.56</v>
      </c>
      <c r="N27" s="11">
        <v>1338.48</v>
      </c>
      <c r="O27" s="13">
        <v>0.16669999999999999</v>
      </c>
      <c r="P27" s="13"/>
      <c r="Q27" s="13">
        <v>0.1187</v>
      </c>
      <c r="R27" s="13"/>
      <c r="S27" s="13">
        <v>0.24129999999999999</v>
      </c>
      <c r="T27" s="13">
        <v>0.4733</v>
      </c>
      <c r="U27" s="14" t="s">
        <v>247</v>
      </c>
      <c r="V27" s="15">
        <v>1</v>
      </c>
    </row>
    <row r="28" spans="2:22" ht="30" x14ac:dyDescent="0.25">
      <c r="B28" s="7">
        <v>2163</v>
      </c>
      <c r="C28" s="7" t="s">
        <v>17</v>
      </c>
      <c r="D28" s="8" t="s">
        <v>227</v>
      </c>
      <c r="E28" s="7"/>
      <c r="F28" s="7" t="s">
        <v>240</v>
      </c>
      <c r="G28" s="9" t="s">
        <v>229</v>
      </c>
      <c r="H28" s="10">
        <v>45050</v>
      </c>
      <c r="I28" s="11">
        <f>K28*L28</f>
        <v>0</v>
      </c>
      <c r="J28" s="11">
        <f>K28-I28</f>
        <v>0</v>
      </c>
      <c r="K28" s="11">
        <f>IFERROR(IF([1]!Tabla1[[#This Row],[POZO]]="",K23,VLOOKUP(C28,[2]Sheet1!$B$3:$E$1048576,2,FALSE)),0)</f>
        <v>0</v>
      </c>
      <c r="L28" s="12">
        <v>0.97</v>
      </c>
      <c r="M28" s="11">
        <v>164.73039889994314</v>
      </c>
      <c r="N28" s="11">
        <v>272.04925381561185</v>
      </c>
      <c r="O28" s="13">
        <v>1.7411160268303128E-2</v>
      </c>
      <c r="P28" s="13">
        <v>0.19423433709147994</v>
      </c>
      <c r="Q28" s="13">
        <v>0.55958327386898821</v>
      </c>
      <c r="R28" s="13">
        <v>0.19080919080919084</v>
      </c>
      <c r="S28" s="13"/>
      <c r="T28" s="13">
        <v>3.796203796203796E-2</v>
      </c>
      <c r="U28" s="14" t="s">
        <v>230</v>
      </c>
      <c r="V28" s="15">
        <f>SUM(O28:T28)</f>
        <v>1.0000000000000002</v>
      </c>
    </row>
    <row r="29" spans="2:22" x14ac:dyDescent="0.25">
      <c r="B29" s="7">
        <v>802</v>
      </c>
      <c r="C29" s="7" t="s">
        <v>18</v>
      </c>
      <c r="D29" s="8" t="s">
        <v>227</v>
      </c>
      <c r="E29" s="7"/>
      <c r="F29" s="7" t="s">
        <v>241</v>
      </c>
      <c r="G29" s="9" t="s">
        <v>229</v>
      </c>
      <c r="H29" s="10">
        <v>44243</v>
      </c>
      <c r="I29" s="11">
        <v>18577.264999999999</v>
      </c>
      <c r="J29" s="11">
        <v>72.735000000000582</v>
      </c>
      <c r="K29" s="11">
        <v>18650</v>
      </c>
      <c r="L29" s="12">
        <v>0.99609999999999999</v>
      </c>
      <c r="M29" s="11">
        <v>158.69999999999999</v>
      </c>
      <c r="N29" s="11">
        <v>338.24</v>
      </c>
      <c r="O29" s="13">
        <v>0.1226</v>
      </c>
      <c r="P29" s="13"/>
      <c r="Q29" s="13">
        <v>0.25609999999999999</v>
      </c>
      <c r="R29" s="13"/>
      <c r="S29" s="13">
        <v>0.30459999999999998</v>
      </c>
      <c r="T29" s="13">
        <v>0.31669999999999998</v>
      </c>
      <c r="U29" s="14" t="s">
        <v>247</v>
      </c>
      <c r="V29" s="15">
        <v>1</v>
      </c>
    </row>
    <row r="30" spans="2:22" ht="30" x14ac:dyDescent="0.25">
      <c r="B30" s="7">
        <v>147</v>
      </c>
      <c r="C30" s="7" t="s">
        <v>18</v>
      </c>
      <c r="D30" s="8" t="s">
        <v>227</v>
      </c>
      <c r="E30" s="7"/>
      <c r="F30" s="7" t="s">
        <v>241</v>
      </c>
      <c r="G30" s="9" t="s">
        <v>229</v>
      </c>
      <c r="H30" s="10">
        <v>44055</v>
      </c>
      <c r="I30" s="11">
        <v>18577.264999999999</v>
      </c>
      <c r="J30" s="11">
        <v>72.735000000000582</v>
      </c>
      <c r="K30" s="11">
        <v>18650</v>
      </c>
      <c r="L30" s="12">
        <v>0.99609999999999999</v>
      </c>
      <c r="M30" s="11">
        <v>136.30000000000001</v>
      </c>
      <c r="N30" s="11">
        <v>160.59</v>
      </c>
      <c r="O30" s="13">
        <v>4.8399999999999999E-2</v>
      </c>
      <c r="P30" s="13"/>
      <c r="Q30" s="13">
        <v>0.1239</v>
      </c>
      <c r="R30" s="13"/>
      <c r="S30" s="13">
        <v>0.3236</v>
      </c>
      <c r="T30" s="13">
        <v>0.50409999999999999</v>
      </c>
      <c r="U30" s="14" t="s">
        <v>230</v>
      </c>
      <c r="V30" s="15">
        <v>1</v>
      </c>
    </row>
    <row r="31" spans="2:22" ht="30" x14ac:dyDescent="0.25">
      <c r="B31" s="7">
        <v>1025</v>
      </c>
      <c r="C31" s="7" t="s">
        <v>18</v>
      </c>
      <c r="D31" s="8" t="s">
        <v>227</v>
      </c>
      <c r="E31" s="7"/>
      <c r="F31" s="7" t="s">
        <v>241</v>
      </c>
      <c r="G31" s="9" t="s">
        <v>229</v>
      </c>
      <c r="H31" s="10">
        <v>44305</v>
      </c>
      <c r="I31" s="11">
        <v>18577.264999999999</v>
      </c>
      <c r="J31" s="11">
        <v>72.735000000000582</v>
      </c>
      <c r="K31" s="11">
        <v>18650</v>
      </c>
      <c r="L31" s="12">
        <v>0.99609999999999999</v>
      </c>
      <c r="M31" s="11">
        <v>82.45</v>
      </c>
      <c r="N31" s="11">
        <v>332.9</v>
      </c>
      <c r="O31" s="13">
        <v>1.5699999999999999E-2</v>
      </c>
      <c r="P31" s="13">
        <v>2.0899999999999998E-2</v>
      </c>
      <c r="Q31" s="13">
        <v>0.20019999999999999</v>
      </c>
      <c r="R31" s="13">
        <v>0.24859999999999999</v>
      </c>
      <c r="S31" s="13"/>
      <c r="T31" s="13">
        <v>0.51470000000000005</v>
      </c>
      <c r="U31" s="14" t="s">
        <v>247</v>
      </c>
      <c r="V31" s="15">
        <v>1.0001</v>
      </c>
    </row>
    <row r="32" spans="2:22" x14ac:dyDescent="0.25">
      <c r="B32" s="7">
        <v>1615</v>
      </c>
      <c r="C32" s="7" t="s">
        <v>19</v>
      </c>
      <c r="D32" s="8" t="s">
        <v>227</v>
      </c>
      <c r="E32" s="7"/>
      <c r="F32" s="7" t="s">
        <v>295</v>
      </c>
      <c r="G32" s="9" t="s">
        <v>229</v>
      </c>
      <c r="H32" s="10">
        <v>44733</v>
      </c>
      <c r="I32" s="11">
        <f>K32*L32</f>
        <v>3408.3980629999996</v>
      </c>
      <c r="J32" s="11">
        <f>K32-I32</f>
        <v>17.471937000000253</v>
      </c>
      <c r="K32" s="11">
        <v>3425.87</v>
      </c>
      <c r="L32" s="12">
        <v>0.9948999999999999</v>
      </c>
      <c r="M32" s="11">
        <v>142.03</v>
      </c>
      <c r="N32" s="11">
        <v>814.59</v>
      </c>
      <c r="O32" s="13">
        <v>9.9000000000000008E-3</v>
      </c>
      <c r="P32" s="13">
        <v>7.7899999999999997E-2</v>
      </c>
      <c r="Q32" s="13">
        <v>0.50070000000000003</v>
      </c>
      <c r="R32" s="13">
        <v>0.37030000000000002</v>
      </c>
      <c r="S32" s="13"/>
      <c r="T32" s="13">
        <v>4.1300000000000003E-2</v>
      </c>
      <c r="U32" s="14" t="s">
        <v>230</v>
      </c>
      <c r="V32" s="15">
        <f>SUM(O32:T32)</f>
        <v>1.0001000000000002</v>
      </c>
    </row>
    <row r="33" spans="2:22" ht="30" x14ac:dyDescent="0.25">
      <c r="B33" s="7">
        <v>738</v>
      </c>
      <c r="C33" s="7" t="s">
        <v>20</v>
      </c>
      <c r="D33" s="8" t="s">
        <v>227</v>
      </c>
      <c r="E33" s="7"/>
      <c r="F33" s="7" t="s">
        <v>275</v>
      </c>
      <c r="G33" s="9" t="s">
        <v>229</v>
      </c>
      <c r="H33" s="10">
        <v>44228</v>
      </c>
      <c r="I33" s="11">
        <v>6564.3427620000002</v>
      </c>
      <c r="J33" s="11">
        <v>64.967238000000179</v>
      </c>
      <c r="K33" s="11">
        <v>6629.31</v>
      </c>
      <c r="L33" s="12">
        <v>0.99019999999999997</v>
      </c>
      <c r="M33" s="11">
        <v>138.08000000000001</v>
      </c>
      <c r="N33" s="11">
        <v>347.68</v>
      </c>
      <c r="O33" s="13">
        <v>8.2100000000000006E-2</v>
      </c>
      <c r="P33" s="13"/>
      <c r="Q33" s="13">
        <v>0.108</v>
      </c>
      <c r="R33" s="13"/>
      <c r="S33" s="13">
        <v>8.6400000000000005E-2</v>
      </c>
      <c r="T33" s="13">
        <v>0.72350000000000003</v>
      </c>
      <c r="U33" s="14" t="s">
        <v>247</v>
      </c>
      <c r="V33" s="15">
        <v>1</v>
      </c>
    </row>
    <row r="34" spans="2:22" ht="30" x14ac:dyDescent="0.25">
      <c r="B34" s="7">
        <v>1742</v>
      </c>
      <c r="C34" s="7" t="s">
        <v>21</v>
      </c>
      <c r="D34" s="8" t="s">
        <v>227</v>
      </c>
      <c r="E34" s="7"/>
      <c r="F34" s="7" t="s">
        <v>275</v>
      </c>
      <c r="G34" s="9" t="s">
        <v>229</v>
      </c>
      <c r="H34" s="10">
        <v>44798</v>
      </c>
      <c r="I34" s="11">
        <f>K34*L34</f>
        <v>5951.6457999999993</v>
      </c>
      <c r="J34" s="11">
        <f>K34-I34</f>
        <v>90.634200000000419</v>
      </c>
      <c r="K34" s="11">
        <v>6042.28</v>
      </c>
      <c r="L34" s="12">
        <v>0.98499999999999999</v>
      </c>
      <c r="M34" s="11">
        <v>247.01</v>
      </c>
      <c r="N34" s="11">
        <v>1132</v>
      </c>
      <c r="O34" s="13">
        <v>0.31409999999999999</v>
      </c>
      <c r="P34" s="13">
        <v>3.7199999999999997E-2</v>
      </c>
      <c r="Q34" s="13">
        <v>0.2213</v>
      </c>
      <c r="R34" s="13">
        <v>0.35470000000000002</v>
      </c>
      <c r="S34" s="13"/>
      <c r="T34" s="13">
        <v>7.2800000000000004E-2</v>
      </c>
      <c r="U34" s="14" t="s">
        <v>230</v>
      </c>
      <c r="V34" s="15">
        <f>SUM(O34:T34)</f>
        <v>1.0001</v>
      </c>
    </row>
    <row r="35" spans="2:22" ht="30" x14ac:dyDescent="0.25">
      <c r="B35" s="7">
        <v>2101</v>
      </c>
      <c r="C35" s="7" t="s">
        <v>22</v>
      </c>
      <c r="D35" s="8" t="s">
        <v>227</v>
      </c>
      <c r="E35" s="7"/>
      <c r="F35" s="7" t="s">
        <v>252</v>
      </c>
      <c r="G35" s="9" t="s">
        <v>229</v>
      </c>
      <c r="H35" s="10">
        <v>45027</v>
      </c>
      <c r="I35" s="11">
        <v>2399.8656000000001</v>
      </c>
      <c r="J35" s="11">
        <v>99.994400000000041</v>
      </c>
      <c r="K35" s="11">
        <v>2499.86</v>
      </c>
      <c r="L35" s="12">
        <v>0.96</v>
      </c>
      <c r="M35" s="11">
        <v>662.75448309331284</v>
      </c>
      <c r="N35" s="11">
        <v>1991.0524693756877</v>
      </c>
      <c r="O35" s="13">
        <v>6.8714632174616003E-3</v>
      </c>
      <c r="P35" s="13">
        <v>0.13554298032875234</v>
      </c>
      <c r="Q35" s="13">
        <v>0.40811102128806248</v>
      </c>
      <c r="R35" s="13">
        <v>0.40353004580975471</v>
      </c>
      <c r="S35" s="13"/>
      <c r="T35" s="13">
        <v>4.5944489355968732E-2</v>
      </c>
      <c r="U35" s="14" t="s">
        <v>230</v>
      </c>
      <c r="V35" s="15">
        <f>SUM(O35:T35)</f>
        <v>0.99999999999999989</v>
      </c>
    </row>
    <row r="36" spans="2:22" ht="30" x14ac:dyDescent="0.25">
      <c r="B36" s="7">
        <v>703</v>
      </c>
      <c r="C36" s="7" t="s">
        <v>22</v>
      </c>
      <c r="D36" s="8" t="s">
        <v>227</v>
      </c>
      <c r="E36" s="7"/>
      <c r="F36" s="7" t="s">
        <v>252</v>
      </c>
      <c r="G36" s="9" t="s">
        <v>229</v>
      </c>
      <c r="H36" s="10">
        <v>44221</v>
      </c>
      <c r="I36" s="11">
        <v>2077.1634399999998</v>
      </c>
      <c r="J36" s="11">
        <v>68.666560000000118</v>
      </c>
      <c r="K36" s="11">
        <v>2145.83</v>
      </c>
      <c r="L36" s="12">
        <v>0.96799999999999997</v>
      </c>
      <c r="M36" s="11">
        <v>586.20000000000005</v>
      </c>
      <c r="N36" s="11">
        <v>1899.96</v>
      </c>
      <c r="O36" s="13">
        <v>4.6899999999999997E-2</v>
      </c>
      <c r="P36" s="13"/>
      <c r="Q36" s="13">
        <v>0.2162</v>
      </c>
      <c r="R36" s="13"/>
      <c r="S36" s="13">
        <v>0.4637</v>
      </c>
      <c r="T36" s="13">
        <v>0.2732</v>
      </c>
      <c r="U36" s="14" t="s">
        <v>247</v>
      </c>
      <c r="V36" s="15">
        <v>1</v>
      </c>
    </row>
    <row r="37" spans="2:22" x14ac:dyDescent="0.25">
      <c r="B37" s="7">
        <v>1496</v>
      </c>
      <c r="C37" s="7" t="s">
        <v>22</v>
      </c>
      <c r="D37" s="8" t="s">
        <v>227</v>
      </c>
      <c r="E37" s="7"/>
      <c r="F37" s="7" t="s">
        <v>252</v>
      </c>
      <c r="G37" s="9" t="s">
        <v>229</v>
      </c>
      <c r="H37" s="10">
        <v>44677</v>
      </c>
      <c r="I37" s="11">
        <f>K37*L37</f>
        <v>2006.35105</v>
      </c>
      <c r="J37" s="11">
        <f>K37-I37</f>
        <v>139.47894999999994</v>
      </c>
      <c r="K37" s="11">
        <v>2145.83</v>
      </c>
      <c r="L37" s="12">
        <v>0.93500000000000005</v>
      </c>
      <c r="M37" s="11">
        <v>226.75</v>
      </c>
      <c r="N37" s="11">
        <v>498.83</v>
      </c>
      <c r="O37" s="13">
        <v>4.1799999999999997E-2</v>
      </c>
      <c r="P37" s="13">
        <v>0.25109999999999999</v>
      </c>
      <c r="Q37" s="13">
        <v>0.48199999999999998</v>
      </c>
      <c r="R37" s="13">
        <v>0.19719999999999999</v>
      </c>
      <c r="S37" s="13"/>
      <c r="T37" s="13">
        <v>2.8000000000000001E-2</v>
      </c>
      <c r="U37" s="14" t="s">
        <v>230</v>
      </c>
      <c r="V37" s="15">
        <f>SUM(O37:T37)</f>
        <v>1.0001</v>
      </c>
    </row>
    <row r="38" spans="2:22" ht="30" x14ac:dyDescent="0.25">
      <c r="B38" s="7">
        <v>964</v>
      </c>
      <c r="C38" s="7" t="s">
        <v>23</v>
      </c>
      <c r="D38" s="8" t="s">
        <v>227</v>
      </c>
      <c r="E38" s="7"/>
      <c r="F38" s="7" t="s">
        <v>307</v>
      </c>
      <c r="G38" s="9" t="s">
        <v>229</v>
      </c>
      <c r="H38" s="10">
        <v>44292</v>
      </c>
      <c r="I38" s="11">
        <v>3811.6089000000002</v>
      </c>
      <c r="J38" s="11">
        <v>38.501099999999951</v>
      </c>
      <c r="K38" s="11">
        <v>3850.11</v>
      </c>
      <c r="L38" s="12">
        <v>0.99</v>
      </c>
      <c r="M38" s="11">
        <v>87.16</v>
      </c>
      <c r="N38" s="11">
        <v>104.21</v>
      </c>
      <c r="O38" s="13">
        <v>5.4199999999999998E-2</v>
      </c>
      <c r="P38" s="13">
        <v>9.2200000000000004E-2</v>
      </c>
      <c r="Q38" s="13">
        <v>0.34</v>
      </c>
      <c r="R38" s="13">
        <v>0.36170000000000002</v>
      </c>
      <c r="S38" s="13"/>
      <c r="T38" s="13">
        <v>0.15190000000000001</v>
      </c>
      <c r="U38" s="14" t="s">
        <v>230</v>
      </c>
      <c r="V38" s="15">
        <v>1</v>
      </c>
    </row>
    <row r="39" spans="2:22" ht="30" x14ac:dyDescent="0.25">
      <c r="B39" s="7">
        <v>963</v>
      </c>
      <c r="C39" s="7" t="s">
        <v>24</v>
      </c>
      <c r="D39" s="8" t="s">
        <v>227</v>
      </c>
      <c r="E39" s="7"/>
      <c r="F39" s="7" t="s">
        <v>261</v>
      </c>
      <c r="G39" s="9" t="s">
        <v>229</v>
      </c>
      <c r="H39" s="10">
        <v>44291</v>
      </c>
      <c r="I39" s="11">
        <v>684.10800000000006</v>
      </c>
      <c r="J39" s="11">
        <v>419.29200000000003</v>
      </c>
      <c r="K39" s="11">
        <v>1103.4000000000001</v>
      </c>
      <c r="L39" s="12">
        <v>0.62</v>
      </c>
      <c r="M39" s="11">
        <v>267.97000000000003</v>
      </c>
      <c r="N39" s="11">
        <v>598.09</v>
      </c>
      <c r="O39" s="13">
        <v>0.1363</v>
      </c>
      <c r="P39" s="13">
        <v>0.11600000000000001</v>
      </c>
      <c r="Q39" s="13">
        <v>0.27439999999999998</v>
      </c>
      <c r="R39" s="13">
        <v>0.32229999999999998</v>
      </c>
      <c r="S39" s="13"/>
      <c r="T39" s="13">
        <v>0.151</v>
      </c>
      <c r="U39" s="14" t="s">
        <v>230</v>
      </c>
      <c r="V39" s="15">
        <v>1</v>
      </c>
    </row>
    <row r="40" spans="2:22" ht="30" x14ac:dyDescent="0.25">
      <c r="B40" s="7">
        <v>973</v>
      </c>
      <c r="C40" s="7" t="s">
        <v>25</v>
      </c>
      <c r="D40" s="8" t="s">
        <v>227</v>
      </c>
      <c r="E40" s="7"/>
      <c r="F40" s="7" t="s">
        <v>289</v>
      </c>
      <c r="G40" s="9" t="s">
        <v>229</v>
      </c>
      <c r="H40" s="10">
        <v>44293</v>
      </c>
      <c r="I40" s="11">
        <v>177.8</v>
      </c>
      <c r="J40" s="11">
        <v>102.19999999999999</v>
      </c>
      <c r="K40" s="11">
        <v>280</v>
      </c>
      <c r="L40" s="12">
        <v>0.63500000000000001</v>
      </c>
      <c r="M40" s="11">
        <v>88.04</v>
      </c>
      <c r="N40" s="11">
        <v>236.46</v>
      </c>
      <c r="O40" s="13">
        <v>2.6200000000000001E-2</v>
      </c>
      <c r="P40" s="13">
        <v>3.6900000000000002E-2</v>
      </c>
      <c r="Q40" s="13">
        <v>0.25490000000000002</v>
      </c>
      <c r="R40" s="13">
        <v>0.57869999999999999</v>
      </c>
      <c r="S40" s="13"/>
      <c r="T40" s="13">
        <v>0.1033</v>
      </c>
      <c r="U40" s="14" t="s">
        <v>230</v>
      </c>
      <c r="V40" s="15">
        <v>1</v>
      </c>
    </row>
    <row r="41" spans="2:22" ht="30" x14ac:dyDescent="0.25">
      <c r="B41" s="7">
        <v>704</v>
      </c>
      <c r="C41" s="7" t="s">
        <v>26</v>
      </c>
      <c r="D41" s="8" t="s">
        <v>227</v>
      </c>
      <c r="E41" s="7"/>
      <c r="F41" s="7" t="s">
        <v>289</v>
      </c>
      <c r="G41" s="9" t="s">
        <v>229</v>
      </c>
      <c r="H41" s="10">
        <v>44221</v>
      </c>
      <c r="I41" s="11">
        <v>2054.3903999999998</v>
      </c>
      <c r="J41" s="11">
        <v>85.599600000000009</v>
      </c>
      <c r="K41" s="11">
        <v>2139.9899999999998</v>
      </c>
      <c r="L41" s="12">
        <v>0.96</v>
      </c>
      <c r="M41" s="11">
        <v>178.31</v>
      </c>
      <c r="N41" s="11">
        <v>328.7</v>
      </c>
      <c r="O41" s="13">
        <v>0.21540000000000001</v>
      </c>
      <c r="P41" s="13"/>
      <c r="Q41" s="13">
        <v>0.32400000000000001</v>
      </c>
      <c r="R41" s="13"/>
      <c r="S41" s="13">
        <v>0.30120000000000002</v>
      </c>
      <c r="T41" s="13">
        <v>0.15939999999999999</v>
      </c>
      <c r="U41" s="14" t="s">
        <v>247</v>
      </c>
      <c r="V41" s="15">
        <v>1</v>
      </c>
    </row>
    <row r="42" spans="2:22" ht="30" x14ac:dyDescent="0.25">
      <c r="B42" s="7">
        <v>499</v>
      </c>
      <c r="C42" s="7" t="s">
        <v>27</v>
      </c>
      <c r="D42" s="8" t="s">
        <v>227</v>
      </c>
      <c r="E42" s="7"/>
      <c r="F42" s="7" t="s">
        <v>282</v>
      </c>
      <c r="G42" s="9" t="s">
        <v>229</v>
      </c>
      <c r="H42" s="10">
        <v>44169</v>
      </c>
      <c r="I42" s="11">
        <v>2772.5986750000002</v>
      </c>
      <c r="J42" s="11">
        <v>72.551324999999906</v>
      </c>
      <c r="K42" s="11">
        <v>2845.15</v>
      </c>
      <c r="L42" s="12">
        <v>0.97450000000000003</v>
      </c>
      <c r="M42" s="11">
        <v>88.66</v>
      </c>
      <c r="N42" s="11">
        <v>126.18</v>
      </c>
      <c r="O42" s="13">
        <v>0.45810000000000001</v>
      </c>
      <c r="P42" s="13"/>
      <c r="Q42" s="13">
        <v>0.4748</v>
      </c>
      <c r="R42" s="13"/>
      <c r="S42" s="13">
        <v>5.4699999999999999E-2</v>
      </c>
      <c r="T42" s="13">
        <v>1.24E-2</v>
      </c>
      <c r="U42" s="14" t="s">
        <v>230</v>
      </c>
      <c r="V42" s="15">
        <v>1</v>
      </c>
    </row>
    <row r="43" spans="2:22" ht="30" x14ac:dyDescent="0.25">
      <c r="B43" s="7">
        <v>720</v>
      </c>
      <c r="C43" s="7" t="s">
        <v>27</v>
      </c>
      <c r="D43" s="8" t="s">
        <v>227</v>
      </c>
      <c r="E43" s="7"/>
      <c r="F43" s="7" t="s">
        <v>282</v>
      </c>
      <c r="G43" s="9" t="s">
        <v>229</v>
      </c>
      <c r="H43" s="10">
        <v>44223</v>
      </c>
      <c r="I43" s="11">
        <v>2772.5986750000002</v>
      </c>
      <c r="J43" s="11">
        <v>72.551324999999906</v>
      </c>
      <c r="K43" s="11">
        <v>2845.15</v>
      </c>
      <c r="L43" s="12">
        <v>0.97450000000000003</v>
      </c>
      <c r="M43" s="11">
        <v>84.38</v>
      </c>
      <c r="N43" s="11">
        <v>85.2</v>
      </c>
      <c r="O43" s="13">
        <v>0.1903</v>
      </c>
      <c r="P43" s="13"/>
      <c r="Q43" s="13">
        <v>0.38250000000000001</v>
      </c>
      <c r="R43" s="13"/>
      <c r="S43" s="13">
        <v>0.24249999999999999</v>
      </c>
      <c r="T43" s="13">
        <v>0.1847</v>
      </c>
      <c r="U43" s="14" t="s">
        <v>247</v>
      </c>
      <c r="V43" s="15">
        <v>0.99999999999999989</v>
      </c>
    </row>
    <row r="44" spans="2:22" x14ac:dyDescent="0.25">
      <c r="B44" s="7">
        <v>1673</v>
      </c>
      <c r="C44" s="7" t="s">
        <v>28</v>
      </c>
      <c r="D44" s="8" t="s">
        <v>227</v>
      </c>
      <c r="E44" s="7"/>
      <c r="F44" s="7" t="s">
        <v>234</v>
      </c>
      <c r="G44" s="9" t="s">
        <v>235</v>
      </c>
      <c r="H44" s="10">
        <v>44761</v>
      </c>
      <c r="I44" s="11">
        <f>K44*L44</f>
        <v>5318.0150000000003</v>
      </c>
      <c r="J44" s="11">
        <f>K44-I44</f>
        <v>80.984999999999673</v>
      </c>
      <c r="K44" s="11">
        <v>5399</v>
      </c>
      <c r="L44" s="12">
        <v>0.98499999999999999</v>
      </c>
      <c r="M44" s="11">
        <v>2993.09</v>
      </c>
      <c r="N44" s="11">
        <v>7218.8</v>
      </c>
      <c r="O44" s="13">
        <v>3.7400000000000003E-2</v>
      </c>
      <c r="P44" s="13">
        <v>0.3095</v>
      </c>
      <c r="Q44" s="13">
        <v>0.44309999999999999</v>
      </c>
      <c r="R44" s="13">
        <v>0.1207</v>
      </c>
      <c r="S44" s="13"/>
      <c r="T44" s="13">
        <v>8.9300000000000004E-2</v>
      </c>
      <c r="U44" s="14" t="s">
        <v>230</v>
      </c>
      <c r="V44" s="15">
        <f>SUM(O44:T44)</f>
        <v>1</v>
      </c>
    </row>
    <row r="45" spans="2:22" ht="30" x14ac:dyDescent="0.25">
      <c r="B45" s="7">
        <v>965</v>
      </c>
      <c r="C45" s="7" t="s">
        <v>29</v>
      </c>
      <c r="D45" s="8" t="s">
        <v>227</v>
      </c>
      <c r="E45" s="7"/>
      <c r="F45" s="7" t="s">
        <v>309</v>
      </c>
      <c r="G45" s="9" t="s">
        <v>235</v>
      </c>
      <c r="H45" s="10">
        <v>44291</v>
      </c>
      <c r="I45" s="11">
        <v>1908.0800000000002</v>
      </c>
      <c r="J45" s="11">
        <v>165.91999999999985</v>
      </c>
      <c r="K45" s="11">
        <v>2074</v>
      </c>
      <c r="L45" s="12">
        <v>0.92</v>
      </c>
      <c r="M45" s="11">
        <v>83.68</v>
      </c>
      <c r="N45" s="11">
        <v>203.11</v>
      </c>
      <c r="O45" s="13">
        <v>0.12590000000000001</v>
      </c>
      <c r="P45" s="13">
        <v>0.18179999999999999</v>
      </c>
      <c r="Q45" s="13">
        <v>0.39860000000000001</v>
      </c>
      <c r="R45" s="13">
        <v>0.1469</v>
      </c>
      <c r="S45" s="13"/>
      <c r="T45" s="13">
        <v>0.1469</v>
      </c>
      <c r="U45" s="14" t="s">
        <v>247</v>
      </c>
      <c r="V45" s="15">
        <v>1.0001</v>
      </c>
    </row>
    <row r="46" spans="2:22" x14ac:dyDescent="0.25">
      <c r="B46" s="7">
        <v>403</v>
      </c>
      <c r="C46" s="7" t="s">
        <v>30</v>
      </c>
      <c r="D46" s="8" t="s">
        <v>227</v>
      </c>
      <c r="E46" s="7"/>
      <c r="F46" s="7" t="s">
        <v>298</v>
      </c>
      <c r="G46" s="9" t="s">
        <v>235</v>
      </c>
      <c r="H46" s="10">
        <v>44139</v>
      </c>
      <c r="I46" s="11">
        <v>7680.8810000000003</v>
      </c>
      <c r="J46" s="11">
        <v>262.11899999999969</v>
      </c>
      <c r="K46" s="11">
        <v>7943</v>
      </c>
      <c r="L46" s="12">
        <v>0.96700000000000008</v>
      </c>
      <c r="M46" s="11">
        <v>118.48</v>
      </c>
      <c r="N46" s="11">
        <v>120.12</v>
      </c>
      <c r="O46" s="13">
        <v>3.0099999999999998E-2</v>
      </c>
      <c r="P46" s="13"/>
      <c r="Q46" s="13">
        <v>0.27900000000000003</v>
      </c>
      <c r="R46" s="13"/>
      <c r="S46" s="13">
        <v>0.55110000000000003</v>
      </c>
      <c r="T46" s="13">
        <v>0.13980000000000001</v>
      </c>
      <c r="U46" s="14" t="s">
        <v>247</v>
      </c>
      <c r="V46" s="15">
        <v>1</v>
      </c>
    </row>
    <row r="47" spans="2:22" ht="30" x14ac:dyDescent="0.25">
      <c r="B47" s="7">
        <v>997</v>
      </c>
      <c r="C47" s="7" t="s">
        <v>31</v>
      </c>
      <c r="D47" s="8" t="s">
        <v>227</v>
      </c>
      <c r="E47" s="7"/>
      <c r="F47" s="7" t="s">
        <v>303</v>
      </c>
      <c r="G47" s="9" t="s">
        <v>291</v>
      </c>
      <c r="H47" s="10">
        <v>44298</v>
      </c>
      <c r="I47" s="11">
        <v>2130.7199999999998</v>
      </c>
      <c r="J47" s="11">
        <v>77.2800000000002</v>
      </c>
      <c r="K47" s="11">
        <v>2208</v>
      </c>
      <c r="L47" s="12">
        <v>0.96499999999999997</v>
      </c>
      <c r="M47" s="11">
        <v>93.99</v>
      </c>
      <c r="N47" s="11">
        <v>122.31</v>
      </c>
      <c r="O47" s="13">
        <v>4.4600000000000001E-2</v>
      </c>
      <c r="P47" s="13">
        <v>6.4000000000000001E-2</v>
      </c>
      <c r="Q47" s="13">
        <v>0.18679999999999999</v>
      </c>
      <c r="R47" s="13">
        <v>0.55979999999999996</v>
      </c>
      <c r="S47" s="13"/>
      <c r="T47" s="13">
        <v>0.14480000000000001</v>
      </c>
      <c r="U47" s="14" t="s">
        <v>247</v>
      </c>
      <c r="V47" s="15">
        <v>1</v>
      </c>
    </row>
    <row r="48" spans="2:22" ht="30" x14ac:dyDescent="0.25">
      <c r="B48" s="7">
        <v>1703</v>
      </c>
      <c r="C48" s="7" t="s">
        <v>32</v>
      </c>
      <c r="D48" s="8" t="s">
        <v>227</v>
      </c>
      <c r="E48" s="7"/>
      <c r="F48" s="7" t="s">
        <v>234</v>
      </c>
      <c r="G48" s="9" t="s">
        <v>291</v>
      </c>
      <c r="H48" s="10">
        <v>44774</v>
      </c>
      <c r="I48" s="11">
        <f>K48*L48</f>
        <v>1090.5999999999999</v>
      </c>
      <c r="J48" s="11">
        <f>K48-I48</f>
        <v>57.400000000000091</v>
      </c>
      <c r="K48" s="11">
        <v>1148</v>
      </c>
      <c r="L48" s="12">
        <v>0.95</v>
      </c>
      <c r="M48" s="11">
        <v>169.73</v>
      </c>
      <c r="N48" s="11">
        <v>243.23</v>
      </c>
      <c r="O48" s="13">
        <v>9.9000000000000008E-3</v>
      </c>
      <c r="P48" s="13">
        <v>0.34549999999999997</v>
      </c>
      <c r="Q48" s="13">
        <v>0.56779999999999997</v>
      </c>
      <c r="R48" s="13">
        <v>6.4699999999999994E-2</v>
      </c>
      <c r="S48" s="13"/>
      <c r="T48" s="13">
        <v>1.21E-2</v>
      </c>
      <c r="U48" s="14" t="s">
        <v>230</v>
      </c>
      <c r="V48" s="15">
        <f>SUM(O48:T48)</f>
        <v>1</v>
      </c>
    </row>
    <row r="49" spans="2:22" ht="30" x14ac:dyDescent="0.25">
      <c r="B49" s="7">
        <v>1186</v>
      </c>
      <c r="C49" s="7" t="s">
        <v>33</v>
      </c>
      <c r="D49" s="8" t="s">
        <v>254</v>
      </c>
      <c r="E49" s="7"/>
      <c r="F49" s="7" t="s">
        <v>289</v>
      </c>
      <c r="G49" s="9" t="s">
        <v>229</v>
      </c>
      <c r="H49" s="10">
        <v>44406</v>
      </c>
      <c r="I49" s="11">
        <v>38</v>
      </c>
      <c r="J49" s="11">
        <v>57</v>
      </c>
      <c r="K49" s="11">
        <v>95</v>
      </c>
      <c r="L49" s="12">
        <v>0.4</v>
      </c>
      <c r="M49" s="11">
        <v>127.65</v>
      </c>
      <c r="N49" s="11">
        <v>198.5</v>
      </c>
      <c r="O49" s="13">
        <v>0.27550000000000002</v>
      </c>
      <c r="P49" s="13">
        <v>0.2752</v>
      </c>
      <c r="Q49" s="13">
        <v>0.3019</v>
      </c>
      <c r="R49" s="13">
        <v>8.8700000000000001E-2</v>
      </c>
      <c r="S49" s="13"/>
      <c r="T49" s="13">
        <v>5.8599999999999999E-2</v>
      </c>
      <c r="U49" s="14" t="s">
        <v>230</v>
      </c>
      <c r="V49" s="15">
        <v>0.99990000000000001</v>
      </c>
    </row>
    <row r="50" spans="2:22" ht="30" x14ac:dyDescent="0.25">
      <c r="B50" s="7">
        <v>140</v>
      </c>
      <c r="C50" s="7" t="s">
        <v>34</v>
      </c>
      <c r="D50" s="8" t="s">
        <v>227</v>
      </c>
      <c r="E50" s="7"/>
      <c r="F50" s="7" t="s">
        <v>232</v>
      </c>
      <c r="G50" s="9" t="s">
        <v>229</v>
      </c>
      <c r="H50" s="10">
        <v>44053</v>
      </c>
      <c r="I50" s="11">
        <v>63.533999999999999</v>
      </c>
      <c r="J50" s="11">
        <v>42.356000000000002</v>
      </c>
      <c r="K50" s="11">
        <v>105.89</v>
      </c>
      <c r="L50" s="12">
        <v>0.6</v>
      </c>
      <c r="M50" s="11">
        <v>102.53</v>
      </c>
      <c r="N50" s="11">
        <v>107.9</v>
      </c>
      <c r="O50" s="13">
        <v>0.1132</v>
      </c>
      <c r="P50" s="13"/>
      <c r="Q50" s="13">
        <v>0.4143</v>
      </c>
      <c r="R50" s="13"/>
      <c r="S50" s="13">
        <v>0.2165</v>
      </c>
      <c r="T50" s="13">
        <v>0.25600000000000001</v>
      </c>
      <c r="U50" s="14" t="s">
        <v>247</v>
      </c>
      <c r="V50" s="15">
        <v>1</v>
      </c>
    </row>
    <row r="51" spans="2:22" ht="30" x14ac:dyDescent="0.25">
      <c r="B51" s="7">
        <v>1202</v>
      </c>
      <c r="C51" s="7" t="s">
        <v>35</v>
      </c>
      <c r="D51" s="8" t="s">
        <v>227</v>
      </c>
      <c r="E51" s="7"/>
      <c r="F51" s="7" t="s">
        <v>244</v>
      </c>
      <c r="G51" s="9" t="s">
        <v>229</v>
      </c>
      <c r="H51" s="10">
        <v>44413</v>
      </c>
      <c r="I51" s="11">
        <v>28688.318550000004</v>
      </c>
      <c r="J51" s="11">
        <v>109.4314499999964</v>
      </c>
      <c r="K51" s="11">
        <v>28797.75</v>
      </c>
      <c r="L51" s="12">
        <v>0.99620000000000009</v>
      </c>
      <c r="M51" s="11">
        <v>173.54</v>
      </c>
      <c r="N51" s="11">
        <v>264.38</v>
      </c>
      <c r="O51" s="13">
        <v>1.9300000000000001E-2</v>
      </c>
      <c r="P51" s="13">
        <v>4.9799999999999997E-2</v>
      </c>
      <c r="Q51" s="13">
        <v>0.44059999999999999</v>
      </c>
      <c r="R51" s="13">
        <v>0.29499999999999998</v>
      </c>
      <c r="S51" s="13"/>
      <c r="T51" s="13">
        <v>0.19539999999999999</v>
      </c>
      <c r="U51" s="14" t="s">
        <v>230</v>
      </c>
      <c r="V51" s="15">
        <v>1.0001</v>
      </c>
    </row>
    <row r="52" spans="2:22" ht="30" x14ac:dyDescent="0.25">
      <c r="B52" s="7">
        <v>1952</v>
      </c>
      <c r="C52" s="7" t="s">
        <v>35</v>
      </c>
      <c r="D52" s="8" t="s">
        <v>227</v>
      </c>
      <c r="E52" s="7"/>
      <c r="F52" s="7" t="s">
        <v>244</v>
      </c>
      <c r="G52" s="9" t="s">
        <v>229</v>
      </c>
      <c r="H52" s="10">
        <v>44889</v>
      </c>
      <c r="I52" s="11">
        <f>K52*L52</f>
        <v>28685.438774999999</v>
      </c>
      <c r="J52" s="11">
        <f>K52-I52</f>
        <v>112.31122500000129</v>
      </c>
      <c r="K52" s="11">
        <v>28797.75</v>
      </c>
      <c r="L52" s="12">
        <v>0.99609999999999999</v>
      </c>
      <c r="M52" s="11">
        <v>107.82</v>
      </c>
      <c r="N52" s="11">
        <v>184.23</v>
      </c>
      <c r="O52" s="13">
        <v>1.0500000000000001E-2</v>
      </c>
      <c r="P52" s="13">
        <v>5.21E-2</v>
      </c>
      <c r="Q52" s="13">
        <v>0.13469999999999999</v>
      </c>
      <c r="R52" s="13">
        <v>0.43919999999999998</v>
      </c>
      <c r="S52" s="13"/>
      <c r="T52" s="13">
        <v>0.36349999999999999</v>
      </c>
      <c r="U52" s="14" t="s">
        <v>230</v>
      </c>
      <c r="V52" s="15">
        <f>SUM(O52:T52)</f>
        <v>1</v>
      </c>
    </row>
    <row r="53" spans="2:22" x14ac:dyDescent="0.25">
      <c r="B53" s="7">
        <v>683</v>
      </c>
      <c r="C53" s="7" t="s">
        <v>36</v>
      </c>
      <c r="D53" s="8" t="s">
        <v>227</v>
      </c>
      <c r="E53" s="7"/>
      <c r="F53" s="7" t="s">
        <v>232</v>
      </c>
      <c r="G53" s="9" t="s">
        <v>229</v>
      </c>
      <c r="H53" s="10">
        <v>44217</v>
      </c>
      <c r="I53" s="11">
        <v>2590.6830199999999</v>
      </c>
      <c r="J53" s="11">
        <v>105.13698000000022</v>
      </c>
      <c r="K53" s="11">
        <v>2695.82</v>
      </c>
      <c r="L53" s="12">
        <v>0.96099999999999997</v>
      </c>
      <c r="M53" s="11">
        <v>488.28</v>
      </c>
      <c r="N53" s="11">
        <v>958.17</v>
      </c>
      <c r="O53" s="13">
        <v>0.2409</v>
      </c>
      <c r="P53" s="13"/>
      <c r="Q53" s="13">
        <v>0.4541</v>
      </c>
      <c r="R53" s="13"/>
      <c r="S53" s="13">
        <v>0.17330000000000001</v>
      </c>
      <c r="T53" s="13">
        <v>0.13170000000000001</v>
      </c>
      <c r="U53" s="14" t="s">
        <v>247</v>
      </c>
      <c r="V53" s="15">
        <v>1</v>
      </c>
    </row>
    <row r="54" spans="2:22" x14ac:dyDescent="0.25">
      <c r="B54" s="7">
        <v>467</v>
      </c>
      <c r="C54" s="7" t="s">
        <v>36</v>
      </c>
      <c r="D54" s="8" t="s">
        <v>227</v>
      </c>
      <c r="E54" s="7"/>
      <c r="F54" s="7" t="s">
        <v>232</v>
      </c>
      <c r="G54" s="9" t="s">
        <v>229</v>
      </c>
      <c r="H54" s="10">
        <v>44154</v>
      </c>
      <c r="I54" s="11">
        <v>2590.6830199999999</v>
      </c>
      <c r="J54" s="11">
        <v>105.13698000000022</v>
      </c>
      <c r="K54" s="11">
        <v>2695.82</v>
      </c>
      <c r="L54" s="12">
        <v>0.96099999999999997</v>
      </c>
      <c r="M54" s="11">
        <v>291.10000000000002</v>
      </c>
      <c r="N54" s="11">
        <v>292.11</v>
      </c>
      <c r="O54" s="13">
        <v>5.3499999999999999E-2</v>
      </c>
      <c r="P54" s="13"/>
      <c r="Q54" s="13">
        <v>0.2122</v>
      </c>
      <c r="R54" s="13"/>
      <c r="S54" s="13">
        <v>0.3271</v>
      </c>
      <c r="T54" s="13">
        <v>0.40720000000000001</v>
      </c>
      <c r="U54" s="14" t="s">
        <v>247</v>
      </c>
      <c r="V54" s="15">
        <v>1</v>
      </c>
    </row>
    <row r="55" spans="2:22" ht="30" x14ac:dyDescent="0.25">
      <c r="B55" s="7">
        <v>1557</v>
      </c>
      <c r="C55" s="7" t="s">
        <v>36</v>
      </c>
      <c r="D55" s="8" t="s">
        <v>227</v>
      </c>
      <c r="E55" s="7"/>
      <c r="F55" s="7" t="s">
        <v>232</v>
      </c>
      <c r="G55" s="9" t="s">
        <v>229</v>
      </c>
      <c r="H55" s="10">
        <v>44701</v>
      </c>
      <c r="I55" s="11">
        <f>K55*L55</f>
        <v>2524.2739999999999</v>
      </c>
      <c r="J55" s="11">
        <f>K55-I55</f>
        <v>105.72600000000011</v>
      </c>
      <c r="K55" s="11">
        <v>2630</v>
      </c>
      <c r="L55" s="12">
        <v>0.95979999999999999</v>
      </c>
      <c r="M55" s="11">
        <v>252.75</v>
      </c>
      <c r="N55" s="11">
        <v>1969.87</v>
      </c>
      <c r="O55" s="13">
        <v>2.5399999999999999E-2</v>
      </c>
      <c r="P55" s="13">
        <v>0.27629999999999999</v>
      </c>
      <c r="Q55" s="13">
        <v>0.34229999999999999</v>
      </c>
      <c r="R55" s="13">
        <v>0.27129999999999999</v>
      </c>
      <c r="S55" s="13"/>
      <c r="T55" s="13">
        <v>8.48E-2</v>
      </c>
      <c r="U55" s="14" t="s">
        <v>230</v>
      </c>
      <c r="V55" s="15">
        <f>SUM(O55:T55)</f>
        <v>1.0001</v>
      </c>
    </row>
    <row r="56" spans="2:22" ht="30" x14ac:dyDescent="0.25">
      <c r="B56" s="7">
        <v>1101</v>
      </c>
      <c r="C56" s="7" t="s">
        <v>36</v>
      </c>
      <c r="D56" s="8" t="s">
        <v>227</v>
      </c>
      <c r="E56" s="7"/>
      <c r="F56" s="7" t="s">
        <v>232</v>
      </c>
      <c r="G56" s="9" t="s">
        <v>229</v>
      </c>
      <c r="H56" s="10">
        <v>44353</v>
      </c>
      <c r="I56" s="11">
        <v>2590.6830199999999</v>
      </c>
      <c r="J56" s="11">
        <v>105.13698000000022</v>
      </c>
      <c r="K56" s="11">
        <v>2695.82</v>
      </c>
      <c r="L56" s="12">
        <v>0.96099999999999997</v>
      </c>
      <c r="M56" s="11">
        <v>211.31</v>
      </c>
      <c r="N56" s="11">
        <v>530.45000000000005</v>
      </c>
      <c r="O56" s="13">
        <v>1.3100000000000001E-2</v>
      </c>
      <c r="P56" s="13">
        <v>4.87E-2</v>
      </c>
      <c r="Q56" s="13">
        <v>0.16309999999999999</v>
      </c>
      <c r="R56" s="13">
        <v>0.4577</v>
      </c>
      <c r="S56" s="13"/>
      <c r="T56" s="13">
        <v>0.31730000000000003</v>
      </c>
      <c r="U56" s="14" t="s">
        <v>230</v>
      </c>
      <c r="V56" s="15">
        <v>0.99990000000000001</v>
      </c>
    </row>
    <row r="57" spans="2:22" ht="30" x14ac:dyDescent="0.25">
      <c r="B57" s="7">
        <v>1420</v>
      </c>
      <c r="C57" s="7" t="s">
        <v>36</v>
      </c>
      <c r="D57" s="8" t="s">
        <v>227</v>
      </c>
      <c r="E57" s="7"/>
      <c r="F57" s="7" t="s">
        <v>232</v>
      </c>
      <c r="G57" s="9" t="s">
        <v>229</v>
      </c>
      <c r="H57" s="10">
        <v>44603</v>
      </c>
      <c r="I57" s="11">
        <f>K57*L57</f>
        <v>2524.2739999999999</v>
      </c>
      <c r="J57" s="11">
        <f>K57-I57</f>
        <v>105.72600000000011</v>
      </c>
      <c r="K57" s="11">
        <v>2630</v>
      </c>
      <c r="L57" s="12">
        <v>0.95979999999999999</v>
      </c>
      <c r="M57" s="11">
        <v>191.76</v>
      </c>
      <c r="N57" s="11">
        <v>367.67</v>
      </c>
      <c r="O57" s="13">
        <v>4.3E-3</v>
      </c>
      <c r="P57" s="13">
        <v>5.8599999999999999E-2</v>
      </c>
      <c r="Q57" s="13">
        <v>0.22090000000000001</v>
      </c>
      <c r="R57" s="13">
        <v>0.28770000000000001</v>
      </c>
      <c r="S57" s="13"/>
      <c r="T57" s="13">
        <v>0.42849999999999999</v>
      </c>
      <c r="U57" s="14" t="s">
        <v>230</v>
      </c>
      <c r="V57" s="15">
        <f>SUM(O57:T57)</f>
        <v>1</v>
      </c>
    </row>
    <row r="58" spans="2:22" ht="30" x14ac:dyDescent="0.25">
      <c r="B58" s="7">
        <v>2167</v>
      </c>
      <c r="C58" s="7" t="s">
        <v>36</v>
      </c>
      <c r="D58" s="8" t="s">
        <v>227</v>
      </c>
      <c r="E58" s="7"/>
      <c r="F58" s="7" t="s">
        <v>232</v>
      </c>
      <c r="G58" s="9" t="s">
        <v>229</v>
      </c>
      <c r="H58" s="10">
        <v>45051</v>
      </c>
      <c r="I58" s="11">
        <f>K58*L58</f>
        <v>0</v>
      </c>
      <c r="J58" s="11">
        <f>K58-I58</f>
        <v>0</v>
      </c>
      <c r="K58" s="11">
        <f>IFERROR(IF([1]!Tabla1[[#This Row],[POZO]]="",K56,VLOOKUP(C58,[2]Sheet1!$B$3:$E$1048576,2,FALSE)),0)</f>
        <v>0</v>
      </c>
      <c r="L58" s="12">
        <v>0.96519999999999995</v>
      </c>
      <c r="M58" s="11">
        <v>149.91634280559822</v>
      </c>
      <c r="N58" s="11">
        <v>380.40473368790799</v>
      </c>
      <c r="O58" s="13">
        <v>1.6012694748990194E-2</v>
      </c>
      <c r="P58" s="13">
        <v>0.15478938257357186</v>
      </c>
      <c r="Q58" s="13">
        <v>0.34420080784766305</v>
      </c>
      <c r="R58" s="13">
        <v>0.26658972879399884</v>
      </c>
      <c r="S58" s="13"/>
      <c r="T58" s="13">
        <v>0.21840738603577614</v>
      </c>
      <c r="U58" s="14" t="s">
        <v>230</v>
      </c>
      <c r="V58" s="15">
        <f>SUM(O58:T58)</f>
        <v>1</v>
      </c>
    </row>
    <row r="59" spans="2:22" ht="30" x14ac:dyDescent="0.25">
      <c r="B59" s="7">
        <v>199</v>
      </c>
      <c r="C59" s="7" t="s">
        <v>37</v>
      </c>
      <c r="D59" s="8" t="s">
        <v>227</v>
      </c>
      <c r="E59" s="7"/>
      <c r="F59" s="7" t="s">
        <v>232</v>
      </c>
      <c r="G59" s="9" t="s">
        <v>229</v>
      </c>
      <c r="H59" s="10">
        <v>44068</v>
      </c>
      <c r="I59" s="11">
        <v>2762.3852500000003</v>
      </c>
      <c r="J59" s="11">
        <v>130.16474999999991</v>
      </c>
      <c r="K59" s="11">
        <v>2892.55</v>
      </c>
      <c r="L59" s="12">
        <v>0.95499999999999996</v>
      </c>
      <c r="M59" s="11">
        <v>98.57</v>
      </c>
      <c r="N59" s="11">
        <v>108.81</v>
      </c>
      <c r="O59" s="13">
        <v>0.28299999999999997</v>
      </c>
      <c r="P59" s="13"/>
      <c r="Q59" s="13">
        <v>0.50229999999999997</v>
      </c>
      <c r="R59" s="13"/>
      <c r="S59" s="13">
        <v>0.1182</v>
      </c>
      <c r="T59" s="13">
        <v>9.6500000000000002E-2</v>
      </c>
      <c r="U59" s="14" t="s">
        <v>247</v>
      </c>
      <c r="V59" s="15">
        <v>0.99999999999999989</v>
      </c>
    </row>
    <row r="60" spans="2:22" ht="30" x14ac:dyDescent="0.25">
      <c r="B60" s="7">
        <v>1460</v>
      </c>
      <c r="C60" s="7" t="s">
        <v>38</v>
      </c>
      <c r="D60" s="8" t="s">
        <v>227</v>
      </c>
      <c r="E60" s="7"/>
      <c r="F60" s="7">
        <v>0</v>
      </c>
      <c r="G60" s="9">
        <v>0</v>
      </c>
      <c r="H60" s="10">
        <v>44643</v>
      </c>
      <c r="I60" s="11">
        <f>K60*L60</f>
        <v>0</v>
      </c>
      <c r="J60" s="11">
        <f>K60-I60</f>
        <v>110.09</v>
      </c>
      <c r="K60" s="11">
        <v>110.09</v>
      </c>
      <c r="L60" s="12">
        <v>0</v>
      </c>
      <c r="M60" s="11">
        <v>138.13999999999999</v>
      </c>
      <c r="N60" s="11">
        <v>454.72</v>
      </c>
      <c r="O60" s="13">
        <v>5.1400000000000001E-2</v>
      </c>
      <c r="P60" s="13">
        <v>0.63490000000000002</v>
      </c>
      <c r="Q60" s="13">
        <v>0.2631</v>
      </c>
      <c r="R60" s="13">
        <v>3.8399999999999997E-2</v>
      </c>
      <c r="S60" s="13"/>
      <c r="T60" s="13">
        <v>1.2200000000000001E-2</v>
      </c>
      <c r="U60" s="14" t="s">
        <v>230</v>
      </c>
      <c r="V60" s="15">
        <f>SUM(O60:T60)</f>
        <v>1</v>
      </c>
    </row>
    <row r="61" spans="2:22" ht="30" x14ac:dyDescent="0.25">
      <c r="B61" s="7">
        <v>1801</v>
      </c>
      <c r="C61" s="7" t="s">
        <v>39</v>
      </c>
      <c r="D61" s="8" t="s">
        <v>227</v>
      </c>
      <c r="E61" s="7"/>
      <c r="F61" s="7" t="s">
        <v>234</v>
      </c>
      <c r="G61" s="9" t="s">
        <v>229</v>
      </c>
      <c r="H61" s="10">
        <v>44823</v>
      </c>
      <c r="I61" s="11">
        <f>K61*L61</f>
        <v>848.85450000000003</v>
      </c>
      <c r="J61" s="11">
        <f>K61-I61</f>
        <v>21.765499999999975</v>
      </c>
      <c r="K61" s="11">
        <v>870.62</v>
      </c>
      <c r="L61" s="12">
        <v>0.97499999999999998</v>
      </c>
      <c r="M61" s="11">
        <v>136.54</v>
      </c>
      <c r="N61" s="11">
        <v>468</v>
      </c>
      <c r="O61" s="13">
        <v>8.6999999999999994E-3</v>
      </c>
      <c r="P61" s="13">
        <v>0.2195</v>
      </c>
      <c r="Q61" s="13">
        <v>0.52449999999999997</v>
      </c>
      <c r="R61" s="13">
        <v>0.2329</v>
      </c>
      <c r="S61" s="13"/>
      <c r="T61" s="13">
        <v>1.43E-2</v>
      </c>
      <c r="U61" s="14" t="s">
        <v>230</v>
      </c>
      <c r="V61" s="15">
        <f>SUM(O61:T61)</f>
        <v>0.9998999999999999</v>
      </c>
    </row>
    <row r="62" spans="2:22" ht="30" x14ac:dyDescent="0.25">
      <c r="B62" s="7">
        <v>1395</v>
      </c>
      <c r="C62" s="7" t="s">
        <v>40</v>
      </c>
      <c r="D62" s="8" t="s">
        <v>227</v>
      </c>
      <c r="E62" s="7"/>
      <c r="F62" s="7" t="s">
        <v>257</v>
      </c>
      <c r="G62" s="9" t="s">
        <v>229</v>
      </c>
      <c r="H62" s="10">
        <v>44588</v>
      </c>
      <c r="I62" s="11">
        <f>K62*L62</f>
        <v>2007.1771999999999</v>
      </c>
      <c r="J62" s="11">
        <f>K62-I62</f>
        <v>40.962800000000016</v>
      </c>
      <c r="K62" s="11">
        <v>2048.14</v>
      </c>
      <c r="L62" s="12">
        <v>0.98</v>
      </c>
      <c r="M62" s="11">
        <v>90.45</v>
      </c>
      <c r="N62" s="11">
        <v>198.69</v>
      </c>
      <c r="O62" s="13">
        <v>4.3999999999999997E-2</v>
      </c>
      <c r="P62" s="13">
        <v>0.26469999999999999</v>
      </c>
      <c r="Q62" s="13">
        <v>0.55610000000000004</v>
      </c>
      <c r="R62" s="13">
        <v>0.11967999999999999</v>
      </c>
      <c r="S62" s="13"/>
      <c r="T62" s="13">
        <v>1.5299999999999999E-2</v>
      </c>
      <c r="U62" s="14" t="s">
        <v>230</v>
      </c>
      <c r="V62" s="15">
        <f>SUM(O62:T62)</f>
        <v>0.99978</v>
      </c>
    </row>
    <row r="63" spans="2:22" ht="30" x14ac:dyDescent="0.25">
      <c r="B63" s="7">
        <v>2087</v>
      </c>
      <c r="C63" s="7" t="s">
        <v>41</v>
      </c>
      <c r="D63" s="8" t="s">
        <v>227</v>
      </c>
      <c r="E63" s="7"/>
      <c r="F63" s="7" t="s">
        <v>299</v>
      </c>
      <c r="G63" s="9" t="s">
        <v>229</v>
      </c>
      <c r="H63" s="10">
        <v>44951.584016203706</v>
      </c>
      <c r="I63" s="11">
        <f>K63*L63</f>
        <v>0</v>
      </c>
      <c r="J63" s="11">
        <f>K63-I63</f>
        <v>0</v>
      </c>
      <c r="K63" s="11">
        <f>IFERROR(IF([1]!Tabla1[[#This Row],[POZO]]="",K62,VLOOKUP(C63,[2]Sheet1!$B$3:$E$1048576,2,FALSE)),0)</f>
        <v>0</v>
      </c>
      <c r="L63" s="12">
        <v>0.99629999999999996</v>
      </c>
      <c r="M63" s="11">
        <v>114.71102887263396</v>
      </c>
      <c r="N63" s="11">
        <v>286.1145721401507</v>
      </c>
      <c r="O63" s="13">
        <v>1.9162285908088862E-2</v>
      </c>
      <c r="P63" s="13">
        <v>0.24843140579955914</v>
      </c>
      <c r="Q63" s="13">
        <v>0.34848227912497887</v>
      </c>
      <c r="R63" s="13">
        <v>0.30269628624724443</v>
      </c>
      <c r="S63" s="13"/>
      <c r="T63" s="13">
        <v>8.1227742920128895E-2</v>
      </c>
      <c r="U63" s="14" t="s">
        <v>230</v>
      </c>
      <c r="V63" s="15">
        <f>SUM(O63:T63)</f>
        <v>1.0000000000000002</v>
      </c>
    </row>
    <row r="64" spans="2:22" ht="30" x14ac:dyDescent="0.25">
      <c r="B64" s="7">
        <v>1312</v>
      </c>
      <c r="C64" s="7" t="s">
        <v>42</v>
      </c>
      <c r="D64" s="8" t="s">
        <v>227</v>
      </c>
      <c r="E64" s="7"/>
      <c r="F64" s="7" t="s">
        <v>256</v>
      </c>
      <c r="G64" s="9" t="s">
        <v>229</v>
      </c>
      <c r="H64" s="10">
        <v>44484</v>
      </c>
      <c r="I64" s="11">
        <v>4910.8780000000006</v>
      </c>
      <c r="J64" s="11">
        <v>100.22199999999975</v>
      </c>
      <c r="K64" s="11">
        <v>5011.1000000000004</v>
      </c>
      <c r="L64" s="12">
        <v>0.98</v>
      </c>
      <c r="M64" s="11">
        <v>641.45000000000005</v>
      </c>
      <c r="N64" s="11">
        <v>2572.42</v>
      </c>
      <c r="O64" s="13">
        <v>7.4000000000000003E-3</v>
      </c>
      <c r="P64" s="13">
        <v>0.114</v>
      </c>
      <c r="Q64" s="13">
        <v>0.86760000000000004</v>
      </c>
      <c r="R64" s="13">
        <v>6.8999999999999999E-3</v>
      </c>
      <c r="S64" s="13"/>
      <c r="T64" s="13">
        <v>4.1000000000000003E-3</v>
      </c>
      <c r="U64" s="14" t="s">
        <v>230</v>
      </c>
      <c r="V64" s="15">
        <v>1.0000000000000002</v>
      </c>
    </row>
    <row r="65" spans="2:22" x14ac:dyDescent="0.25">
      <c r="B65" s="7">
        <v>1194</v>
      </c>
      <c r="C65" s="7" t="s">
        <v>42</v>
      </c>
      <c r="D65" s="8" t="s">
        <v>254</v>
      </c>
      <c r="E65" s="7"/>
      <c r="F65" s="7" t="s">
        <v>256</v>
      </c>
      <c r="G65" s="9" t="s">
        <v>229</v>
      </c>
      <c r="H65" s="10">
        <v>44410</v>
      </c>
      <c r="I65" s="11">
        <v>4910.8780000000006</v>
      </c>
      <c r="J65" s="11">
        <v>100.22199999999975</v>
      </c>
      <c r="K65" s="11">
        <v>5011.1000000000004</v>
      </c>
      <c r="L65" s="12">
        <v>0.98</v>
      </c>
      <c r="M65" s="11">
        <v>268.14999999999998</v>
      </c>
      <c r="N65" s="11">
        <v>697.45</v>
      </c>
      <c r="O65" s="13">
        <v>3.3399999999999999E-2</v>
      </c>
      <c r="P65" s="13">
        <v>0.16489999999999999</v>
      </c>
      <c r="Q65" s="13">
        <v>0.71489999999999998</v>
      </c>
      <c r="R65" s="13">
        <v>6.8400000000000002E-2</v>
      </c>
      <c r="S65" s="13"/>
      <c r="T65" s="13">
        <v>1.83E-2</v>
      </c>
      <c r="U65" s="14" t="s">
        <v>230</v>
      </c>
      <c r="V65" s="15">
        <v>0.99990000000000001</v>
      </c>
    </row>
    <row r="66" spans="2:22" ht="30" x14ac:dyDescent="0.25">
      <c r="B66" s="7">
        <v>1023</v>
      </c>
      <c r="C66" s="7" t="s">
        <v>43</v>
      </c>
      <c r="D66" s="8" t="s">
        <v>227</v>
      </c>
      <c r="E66" s="7"/>
      <c r="F66" s="7" t="s">
        <v>293</v>
      </c>
      <c r="G66" s="9" t="s">
        <v>229</v>
      </c>
      <c r="H66" s="10">
        <v>44305</v>
      </c>
      <c r="I66" s="11">
        <v>17723.612035999999</v>
      </c>
      <c r="J66" s="11">
        <v>51.54796400000123</v>
      </c>
      <c r="K66" s="11">
        <v>17775.16</v>
      </c>
      <c r="L66" s="12">
        <v>0.99709999999999999</v>
      </c>
      <c r="M66" s="11">
        <v>151.26</v>
      </c>
      <c r="N66" s="11">
        <v>381.01</v>
      </c>
      <c r="O66" s="13">
        <v>7.4000000000000003E-3</v>
      </c>
      <c r="P66" s="13">
        <v>3.44E-2</v>
      </c>
      <c r="Q66" s="13">
        <v>0.38069999999999998</v>
      </c>
      <c r="R66" s="13">
        <v>0.40720000000000001</v>
      </c>
      <c r="S66" s="13"/>
      <c r="T66" s="13">
        <v>0.17030000000000001</v>
      </c>
      <c r="U66" s="14" t="s">
        <v>230</v>
      </c>
      <c r="V66" s="15">
        <v>1</v>
      </c>
    </row>
    <row r="67" spans="2:22" ht="30" x14ac:dyDescent="0.25">
      <c r="B67" s="7">
        <v>2070</v>
      </c>
      <c r="C67" s="7" t="s">
        <v>44</v>
      </c>
      <c r="D67" s="8" t="s">
        <v>227</v>
      </c>
      <c r="E67" s="7"/>
      <c r="F67" s="7" t="s">
        <v>234</v>
      </c>
      <c r="G67" s="9" t="s">
        <v>229</v>
      </c>
      <c r="H67" s="10">
        <v>44945</v>
      </c>
      <c r="I67" s="11">
        <f>K67*L67</f>
        <v>0</v>
      </c>
      <c r="J67" s="11">
        <f>K67-I67</f>
        <v>0</v>
      </c>
      <c r="K67" s="11">
        <f>IFERROR(IF([1]!Tabla1[[#This Row],[POZO]]="",K46,VLOOKUP(C67,[2]Sheet1!$B$3:$E$1048576,2,FALSE)),0)</f>
        <v>0</v>
      </c>
      <c r="L67" s="12">
        <v>0.995</v>
      </c>
      <c r="M67" s="11">
        <v>316.71458421274451</v>
      </c>
      <c r="N67" s="11">
        <v>617.55997423317694</v>
      </c>
      <c r="O67" s="13">
        <v>3.7135379129841058E-2</v>
      </c>
      <c r="P67" s="13">
        <v>0.44209687820050825</v>
      </c>
      <c r="Q67" s="13">
        <v>0.46982513371012397</v>
      </c>
      <c r="R67" s="13">
        <v>4.1649281189545945E-2</v>
      </c>
      <c r="S67" s="13"/>
      <c r="T67" s="13">
        <v>9.2933277699806544E-3</v>
      </c>
      <c r="U67" s="14" t="s">
        <v>230</v>
      </c>
      <c r="V67" s="15">
        <f>SUM(O67:T67)</f>
        <v>0.99999999999999989</v>
      </c>
    </row>
    <row r="68" spans="2:22" ht="30" x14ac:dyDescent="0.25">
      <c r="B68" s="7">
        <v>271</v>
      </c>
      <c r="C68" s="7" t="s">
        <v>45</v>
      </c>
      <c r="D68" s="8" t="s">
        <v>227</v>
      </c>
      <c r="E68" s="7"/>
      <c r="F68" s="7" t="s">
        <v>273</v>
      </c>
      <c r="G68" s="9" t="s">
        <v>229</v>
      </c>
      <c r="H68" s="10">
        <v>44082</v>
      </c>
      <c r="I68" s="11">
        <v>20970.679086</v>
      </c>
      <c r="J68" s="11">
        <v>96.910914000000048</v>
      </c>
      <c r="K68" s="11">
        <v>21067.59</v>
      </c>
      <c r="L68" s="12">
        <v>0.99540000000000006</v>
      </c>
      <c r="M68" s="11">
        <v>368.8</v>
      </c>
      <c r="N68" s="11">
        <v>379.92</v>
      </c>
      <c r="O68" s="13">
        <v>9.4000000000000004E-3</v>
      </c>
      <c r="P68" s="13"/>
      <c r="Q68" s="13">
        <v>6.59E-2</v>
      </c>
      <c r="R68" s="13"/>
      <c r="S68" s="13">
        <v>0.31009999999999999</v>
      </c>
      <c r="T68" s="13">
        <v>0.61470000000000002</v>
      </c>
      <c r="U68" s="14" t="s">
        <v>230</v>
      </c>
      <c r="V68" s="15">
        <v>1.0001</v>
      </c>
    </row>
    <row r="69" spans="2:22" ht="30" x14ac:dyDescent="0.25">
      <c r="B69" s="7">
        <v>1403</v>
      </c>
      <c r="C69" s="7" t="s">
        <v>45</v>
      </c>
      <c r="D69" s="8" t="s">
        <v>227</v>
      </c>
      <c r="E69" s="7"/>
      <c r="F69" s="7" t="s">
        <v>273</v>
      </c>
      <c r="G69" s="9" t="s">
        <v>229</v>
      </c>
      <c r="H69" s="10">
        <v>44592</v>
      </c>
      <c r="I69" s="11">
        <f>K69*L69</f>
        <v>25128.017040000002</v>
      </c>
      <c r="J69" s="11">
        <f>K69-I69</f>
        <v>98.382959999999002</v>
      </c>
      <c r="K69" s="11">
        <v>25226.400000000001</v>
      </c>
      <c r="L69" s="12">
        <v>0.99609999999999999</v>
      </c>
      <c r="M69" s="11">
        <v>143.47</v>
      </c>
      <c r="N69" s="11">
        <v>225.41</v>
      </c>
      <c r="O69" s="13">
        <v>3.1699999999999999E-2</v>
      </c>
      <c r="P69" s="13">
        <v>0.23250000000000001</v>
      </c>
      <c r="Q69" s="13">
        <v>0.53390000000000004</v>
      </c>
      <c r="R69" s="13">
        <v>0.14860000000000001</v>
      </c>
      <c r="S69" s="13"/>
      <c r="T69" s="13">
        <v>5.33E-2</v>
      </c>
      <c r="U69" s="14" t="s">
        <v>230</v>
      </c>
      <c r="V69" s="15">
        <f>SUM(O69:T69)</f>
        <v>1</v>
      </c>
    </row>
    <row r="70" spans="2:22" ht="30" x14ac:dyDescent="0.25">
      <c r="B70" s="7">
        <v>928</v>
      </c>
      <c r="C70" s="7" t="s">
        <v>45</v>
      </c>
      <c r="D70" s="8" t="s">
        <v>227</v>
      </c>
      <c r="E70" s="7"/>
      <c r="F70" s="7" t="s">
        <v>273</v>
      </c>
      <c r="G70" s="9" t="s">
        <v>229</v>
      </c>
      <c r="H70" s="10">
        <v>44274</v>
      </c>
      <c r="I70" s="11">
        <v>20970.679086</v>
      </c>
      <c r="J70" s="11">
        <v>96.910914000000048</v>
      </c>
      <c r="K70" s="11">
        <v>21067.59</v>
      </c>
      <c r="L70" s="12">
        <v>0.99540000000000006</v>
      </c>
      <c r="M70" s="11">
        <v>87.84</v>
      </c>
      <c r="N70" s="11">
        <v>108.23</v>
      </c>
      <c r="O70" s="13">
        <v>7.1099999999999997E-2</v>
      </c>
      <c r="P70" s="13"/>
      <c r="Q70" s="13">
        <v>0.30149999999999999</v>
      </c>
      <c r="R70" s="13"/>
      <c r="S70" s="13">
        <v>0.36449999999999999</v>
      </c>
      <c r="T70" s="13">
        <v>0.26290000000000002</v>
      </c>
      <c r="U70" s="14" t="s">
        <v>230</v>
      </c>
      <c r="V70" s="15">
        <v>1</v>
      </c>
    </row>
    <row r="71" spans="2:22" ht="30" x14ac:dyDescent="0.25">
      <c r="B71" s="7">
        <v>1751</v>
      </c>
      <c r="C71" s="7" t="s">
        <v>46</v>
      </c>
      <c r="D71" s="8" t="s">
        <v>227</v>
      </c>
      <c r="E71" s="7"/>
      <c r="F71" s="7" t="s">
        <v>244</v>
      </c>
      <c r="G71" s="9" t="s">
        <v>229</v>
      </c>
      <c r="H71" s="10">
        <v>44803</v>
      </c>
      <c r="I71" s="11">
        <f>K71*L71</f>
        <v>11409.79752</v>
      </c>
      <c r="J71" s="11">
        <f>K71-I71</f>
        <v>45.822480000000724</v>
      </c>
      <c r="K71" s="11">
        <v>11455.62</v>
      </c>
      <c r="L71" s="12">
        <v>0.996</v>
      </c>
      <c r="M71" s="11">
        <v>92.6</v>
      </c>
      <c r="N71" s="11">
        <v>106.64</v>
      </c>
      <c r="O71" s="13">
        <v>2.5700000000000001E-2</v>
      </c>
      <c r="P71" s="13">
        <v>0.10440000000000001</v>
      </c>
      <c r="Q71" s="13">
        <v>0.45760000000000001</v>
      </c>
      <c r="R71" s="13">
        <v>0.30809999999999998</v>
      </c>
      <c r="S71" s="13"/>
      <c r="T71" s="13">
        <v>0.1042</v>
      </c>
      <c r="U71" s="14" t="s">
        <v>230</v>
      </c>
      <c r="V71" s="15">
        <f>SUM(O71:T71)</f>
        <v>0.99999999999999989</v>
      </c>
    </row>
    <row r="72" spans="2:22" x14ac:dyDescent="0.25">
      <c r="B72" s="7">
        <v>1396</v>
      </c>
      <c r="C72" s="7" t="s">
        <v>47</v>
      </c>
      <c r="D72" s="8" t="s">
        <v>227</v>
      </c>
      <c r="E72" s="7"/>
      <c r="F72" s="7" t="s">
        <v>238</v>
      </c>
      <c r="G72" s="9" t="s">
        <v>229</v>
      </c>
      <c r="H72" s="10">
        <v>44589</v>
      </c>
      <c r="I72" s="11">
        <f>K72*L72</f>
        <v>11531.316059999999</v>
      </c>
      <c r="J72" s="11">
        <f>K72-I72</f>
        <v>75.443940000001021</v>
      </c>
      <c r="K72" s="11">
        <v>11606.76</v>
      </c>
      <c r="L72" s="12">
        <v>0.99349999999999994</v>
      </c>
      <c r="M72" s="11">
        <v>911.31</v>
      </c>
      <c r="N72" s="11">
        <v>941.46</v>
      </c>
      <c r="O72" s="13">
        <v>2.3E-3</v>
      </c>
      <c r="P72" s="13">
        <v>0.50580000000000003</v>
      </c>
      <c r="Q72" s="13">
        <v>0.35160000000000002</v>
      </c>
      <c r="R72" s="13">
        <v>0.1203</v>
      </c>
      <c r="S72" s="13"/>
      <c r="T72" s="13">
        <v>1.9900000000000001E-2</v>
      </c>
      <c r="U72" s="14" t="s">
        <v>230</v>
      </c>
      <c r="V72" s="15">
        <f>SUM(O72:T72)</f>
        <v>0.99990000000000001</v>
      </c>
    </row>
    <row r="73" spans="2:22" ht="30" x14ac:dyDescent="0.25">
      <c r="B73" s="7">
        <v>1393</v>
      </c>
      <c r="C73" s="7" t="s">
        <v>47</v>
      </c>
      <c r="D73" s="8" t="s">
        <v>227</v>
      </c>
      <c r="E73" s="7"/>
      <c r="F73" s="7" t="s">
        <v>238</v>
      </c>
      <c r="G73" s="9" t="s">
        <v>229</v>
      </c>
      <c r="H73" s="10">
        <v>44587</v>
      </c>
      <c r="I73" s="11">
        <f>K73*L73</f>
        <v>11531.316059999999</v>
      </c>
      <c r="J73" s="11">
        <f>K73-I73</f>
        <v>75.443940000001021</v>
      </c>
      <c r="K73" s="11">
        <v>11606.76</v>
      </c>
      <c r="L73" s="12">
        <v>0.99349999999999994</v>
      </c>
      <c r="M73" s="11">
        <v>673.63</v>
      </c>
      <c r="N73" s="11">
        <v>2250.56</v>
      </c>
      <c r="O73" s="13">
        <v>8.77E-2</v>
      </c>
      <c r="P73" s="13">
        <v>0.48555555555555502</v>
      </c>
      <c r="Q73" s="13">
        <v>0.33539999999999998</v>
      </c>
      <c r="R73" s="13">
        <v>8.0199999999999994E-2</v>
      </c>
      <c r="S73" s="13"/>
      <c r="T73" s="13">
        <v>1.15E-2</v>
      </c>
      <c r="U73" s="14" t="s">
        <v>230</v>
      </c>
      <c r="V73" s="15">
        <f>SUM(O73:T73)</f>
        <v>1.000355555555555</v>
      </c>
    </row>
    <row r="74" spans="2:22" ht="30" x14ac:dyDescent="0.25">
      <c r="B74" s="7">
        <v>278</v>
      </c>
      <c r="C74" s="7" t="s">
        <v>47</v>
      </c>
      <c r="D74" s="8" t="s">
        <v>227</v>
      </c>
      <c r="E74" s="7"/>
      <c r="F74" s="7" t="s">
        <v>238</v>
      </c>
      <c r="G74" s="9" t="s">
        <v>229</v>
      </c>
      <c r="H74" s="10">
        <v>44083</v>
      </c>
      <c r="I74" s="11">
        <v>4449.6582229999995</v>
      </c>
      <c r="J74" s="11">
        <v>39.051777000000584</v>
      </c>
      <c r="K74" s="11">
        <v>4488.71</v>
      </c>
      <c r="L74" s="12">
        <v>0.99129999999999996</v>
      </c>
      <c r="M74" s="11">
        <v>135.88</v>
      </c>
      <c r="N74" s="11">
        <v>136.71</v>
      </c>
      <c r="O74" s="13">
        <v>6.59E-2</v>
      </c>
      <c r="P74" s="13"/>
      <c r="Q74" s="13">
        <v>0.32990000000000003</v>
      </c>
      <c r="R74" s="13"/>
      <c r="S74" s="13">
        <v>0.4733</v>
      </c>
      <c r="T74" s="13">
        <v>0.13089999999999999</v>
      </c>
      <c r="U74" s="14" t="s">
        <v>230</v>
      </c>
      <c r="V74" s="15">
        <v>1</v>
      </c>
    </row>
    <row r="75" spans="2:22" x14ac:dyDescent="0.25">
      <c r="B75" s="7">
        <v>1579</v>
      </c>
      <c r="C75" s="7" t="s">
        <v>48</v>
      </c>
      <c r="D75" s="8" t="s">
        <v>227</v>
      </c>
      <c r="E75" s="7"/>
      <c r="F75" s="7" t="s">
        <v>266</v>
      </c>
      <c r="G75" s="9" t="s">
        <v>229</v>
      </c>
      <c r="H75" s="10">
        <v>44714</v>
      </c>
      <c r="I75" s="11">
        <f>K75*L75</f>
        <v>3471.2581999999998</v>
      </c>
      <c r="J75" s="11">
        <f>K75-I75</f>
        <v>52.86180000000013</v>
      </c>
      <c r="K75" s="11">
        <v>3524.12</v>
      </c>
      <c r="L75" s="12">
        <v>0.98499999999999999</v>
      </c>
      <c r="M75" s="11">
        <v>414.13</v>
      </c>
      <c r="N75" s="11">
        <v>800.03</v>
      </c>
      <c r="O75" s="13">
        <v>1.43E-2</v>
      </c>
      <c r="P75" s="13">
        <v>0.20200000000000001</v>
      </c>
      <c r="Q75" s="13">
        <v>0.6754</v>
      </c>
      <c r="R75" s="13">
        <v>5.79E-2</v>
      </c>
      <c r="S75" s="13"/>
      <c r="T75" s="13">
        <v>5.04E-2</v>
      </c>
      <c r="U75" s="14" t="s">
        <v>230</v>
      </c>
      <c r="V75" s="15">
        <f>SUM(O75:T75)</f>
        <v>1</v>
      </c>
    </row>
    <row r="76" spans="2:22" ht="30" x14ac:dyDescent="0.25">
      <c r="B76" s="7">
        <v>1037</v>
      </c>
      <c r="C76" s="7" t="s">
        <v>48</v>
      </c>
      <c r="D76" s="8" t="s">
        <v>227</v>
      </c>
      <c r="E76" s="7"/>
      <c r="F76" s="7" t="s">
        <v>266</v>
      </c>
      <c r="G76" s="9" t="s">
        <v>229</v>
      </c>
      <c r="H76" s="10">
        <v>44308</v>
      </c>
      <c r="I76" s="11">
        <v>2654.9179999999997</v>
      </c>
      <c r="J76" s="11">
        <v>54.182000000000244</v>
      </c>
      <c r="K76" s="11">
        <v>2709.1</v>
      </c>
      <c r="L76" s="12">
        <v>0.98</v>
      </c>
      <c r="M76" s="11">
        <v>90.95</v>
      </c>
      <c r="N76" s="11">
        <v>273.49</v>
      </c>
      <c r="O76" s="13">
        <v>1.6799999999999999E-2</v>
      </c>
      <c r="P76" s="13">
        <v>6.9400000000000003E-2</v>
      </c>
      <c r="Q76" s="13">
        <v>0.57889999999999997</v>
      </c>
      <c r="R76" s="13">
        <v>0.2029</v>
      </c>
      <c r="S76" s="13"/>
      <c r="T76" s="13">
        <v>0.13200000000000001</v>
      </c>
      <c r="U76" s="14" t="s">
        <v>247</v>
      </c>
      <c r="V76" s="15">
        <v>1</v>
      </c>
    </row>
    <row r="77" spans="2:22" ht="30" x14ac:dyDescent="0.25">
      <c r="B77" s="7">
        <v>1975</v>
      </c>
      <c r="C77" s="7" t="s">
        <v>49</v>
      </c>
      <c r="D77" s="8" t="s">
        <v>227</v>
      </c>
      <c r="E77" s="7"/>
      <c r="F77" s="7" t="s">
        <v>234</v>
      </c>
      <c r="G77" s="9" t="s">
        <v>229</v>
      </c>
      <c r="H77" s="10">
        <v>44901</v>
      </c>
      <c r="I77" s="11">
        <f>K77*L77</f>
        <v>5999.4</v>
      </c>
      <c r="J77" s="11">
        <f>K77-I77</f>
        <v>0.6000000000003638</v>
      </c>
      <c r="K77" s="11">
        <v>6000</v>
      </c>
      <c r="L77" s="12">
        <v>0.99990000000000001</v>
      </c>
      <c r="M77" s="11">
        <v>249.26</v>
      </c>
      <c r="N77" s="11">
        <v>2996.79</v>
      </c>
      <c r="O77" s="13">
        <v>9.2499999999999999E-2</v>
      </c>
      <c r="P77" s="13">
        <v>6.8400000000000002E-2</v>
      </c>
      <c r="Q77" s="13">
        <v>0.43519999999999998</v>
      </c>
      <c r="R77" s="13">
        <v>0.35120000000000001</v>
      </c>
      <c r="S77" s="13"/>
      <c r="T77" s="13">
        <v>5.2600000000000001E-2</v>
      </c>
      <c r="U77" s="14" t="s">
        <v>230</v>
      </c>
      <c r="V77" s="15">
        <f>SUM(O77:T77)</f>
        <v>0.99990000000000001</v>
      </c>
    </row>
    <row r="78" spans="2:22" x14ac:dyDescent="0.25">
      <c r="B78" s="7">
        <v>1984</v>
      </c>
      <c r="C78" s="7" t="s">
        <v>49</v>
      </c>
      <c r="D78" s="8" t="s">
        <v>227</v>
      </c>
      <c r="E78" s="7"/>
      <c r="F78" s="7" t="s">
        <v>234</v>
      </c>
      <c r="G78" s="9" t="s">
        <v>229</v>
      </c>
      <c r="H78" s="10">
        <v>44907</v>
      </c>
      <c r="I78" s="11">
        <f>K78*L78</f>
        <v>5999.4</v>
      </c>
      <c r="J78" s="11">
        <f>K78-I78</f>
        <v>0.6000000000003638</v>
      </c>
      <c r="K78" s="11">
        <v>6000</v>
      </c>
      <c r="L78" s="12">
        <v>0.99990000000000001</v>
      </c>
      <c r="M78" s="11">
        <v>102.15</v>
      </c>
      <c r="N78" s="11">
        <v>382.17</v>
      </c>
      <c r="O78" s="13">
        <v>2.8899999999999999E-2</v>
      </c>
      <c r="P78" s="13">
        <v>3.6799999999999999E-2</v>
      </c>
      <c r="Q78" s="13">
        <v>0.1986</v>
      </c>
      <c r="R78" s="13">
        <v>0.20319999999999999</v>
      </c>
      <c r="S78" s="13"/>
      <c r="T78" s="13">
        <v>0.53239999999999998</v>
      </c>
      <c r="U78" s="14" t="s">
        <v>230</v>
      </c>
      <c r="V78" s="15">
        <f>SUM(O78:T78)</f>
        <v>0.99990000000000001</v>
      </c>
    </row>
    <row r="79" spans="2:22" x14ac:dyDescent="0.25">
      <c r="B79" s="7">
        <v>2129</v>
      </c>
      <c r="C79" s="7" t="s">
        <v>50</v>
      </c>
      <c r="D79" s="8" t="s">
        <v>227</v>
      </c>
      <c r="E79" s="7"/>
      <c r="F79" s="7" t="s">
        <v>238</v>
      </c>
      <c r="G79" s="9" t="s">
        <v>229</v>
      </c>
      <c r="H79" s="10">
        <v>45036.36109953704</v>
      </c>
      <c r="I79" s="11">
        <f>K79*L79</f>
        <v>0</v>
      </c>
      <c r="J79" s="11">
        <f>K79-I79</f>
        <v>0</v>
      </c>
      <c r="K79" s="11">
        <f>IFERROR(IF([1]!Tabla1[[#This Row],[POZO]]="",K78,VLOOKUP(C79,[2]Sheet1!$B$3:$E$1048576,2,FALSE)),0)</f>
        <v>0</v>
      </c>
      <c r="L79" s="12">
        <v>0.9889</v>
      </c>
      <c r="M79" s="11">
        <v>307.16134737090124</v>
      </c>
      <c r="N79" s="11">
        <v>1019.9827260763484</v>
      </c>
      <c r="O79" s="13">
        <v>3.3654876741693464E-2</v>
      </c>
      <c r="P79" s="13">
        <v>0.25058949624866028</v>
      </c>
      <c r="Q79" s="13">
        <v>0.44630225080385855</v>
      </c>
      <c r="R79" s="13">
        <v>0.24448017148981779</v>
      </c>
      <c r="S79" s="13"/>
      <c r="T79" s="13">
        <v>2.4973204715969994E-2</v>
      </c>
      <c r="U79" s="14" t="s">
        <v>230</v>
      </c>
      <c r="V79" s="15">
        <f>SUM(O79:T79)</f>
        <v>1.0000000000000002</v>
      </c>
    </row>
    <row r="80" spans="2:22" x14ac:dyDescent="0.25">
      <c r="B80" s="7">
        <v>885</v>
      </c>
      <c r="C80" s="7" t="s">
        <v>51</v>
      </c>
      <c r="D80" s="8" t="s">
        <v>227</v>
      </c>
      <c r="E80" s="7"/>
      <c r="F80" s="7" t="s">
        <v>245</v>
      </c>
      <c r="G80" s="9" t="s">
        <v>229</v>
      </c>
      <c r="H80" s="10">
        <v>44259</v>
      </c>
      <c r="I80" s="11">
        <v>15804.718272000002</v>
      </c>
      <c r="J80" s="11">
        <v>101.80172799999855</v>
      </c>
      <c r="K80" s="11">
        <v>15906.52</v>
      </c>
      <c r="L80" s="12">
        <v>0.99360000000000004</v>
      </c>
      <c r="M80" s="11">
        <v>344.51</v>
      </c>
      <c r="N80" s="11">
        <v>656.16</v>
      </c>
      <c r="O80" s="13">
        <v>9.4399999999999998E-2</v>
      </c>
      <c r="P80" s="13"/>
      <c r="Q80" s="13">
        <v>0.42230000000000001</v>
      </c>
      <c r="R80" s="13"/>
      <c r="S80" s="13">
        <v>0.37619999999999998</v>
      </c>
      <c r="T80" s="13">
        <v>0.1071</v>
      </c>
      <c r="U80" s="14" t="s">
        <v>247</v>
      </c>
      <c r="V80" s="15">
        <v>1</v>
      </c>
    </row>
    <row r="81" spans="2:22" x14ac:dyDescent="0.25">
      <c r="B81" s="7">
        <v>1747</v>
      </c>
      <c r="C81" s="7" t="s">
        <v>52</v>
      </c>
      <c r="D81" s="8" t="s">
        <v>227</v>
      </c>
      <c r="E81" s="7"/>
      <c r="F81" s="7" t="s">
        <v>271</v>
      </c>
      <c r="G81" s="9" t="s">
        <v>229</v>
      </c>
      <c r="H81" s="10">
        <v>44802</v>
      </c>
      <c r="I81" s="11">
        <f>K81*L81</f>
        <v>24069.115817999998</v>
      </c>
      <c r="J81" s="11">
        <f>K81-I81</f>
        <v>82.114182000001165</v>
      </c>
      <c r="K81" s="11">
        <v>24151.23</v>
      </c>
      <c r="L81" s="12">
        <v>0.99659999999999993</v>
      </c>
      <c r="M81" s="11">
        <v>372.83</v>
      </c>
      <c r="N81" s="11">
        <v>4516.07</v>
      </c>
      <c r="O81" s="13">
        <v>1.47E-2</v>
      </c>
      <c r="P81" s="13">
        <v>0.13170000000000001</v>
      </c>
      <c r="Q81" s="13">
        <v>0.46089999999999998</v>
      </c>
      <c r="R81" s="13">
        <v>0.3483</v>
      </c>
      <c r="S81" s="13"/>
      <c r="T81" s="13">
        <v>4.4400000000000002E-2</v>
      </c>
      <c r="U81" s="14" t="s">
        <v>230</v>
      </c>
      <c r="V81" s="15">
        <f>SUM(O81:T81)</f>
        <v>1</v>
      </c>
    </row>
    <row r="82" spans="2:22" ht="30" x14ac:dyDescent="0.25">
      <c r="B82" s="7">
        <v>1786</v>
      </c>
      <c r="C82" s="7" t="s">
        <v>52</v>
      </c>
      <c r="D82" s="8" t="s">
        <v>227</v>
      </c>
      <c r="E82" s="7"/>
      <c r="F82" s="7" t="s">
        <v>271</v>
      </c>
      <c r="G82" s="9" t="s">
        <v>229</v>
      </c>
      <c r="H82" s="10">
        <v>44816</v>
      </c>
      <c r="I82" s="11">
        <f>K82*L82</f>
        <v>24069.115817999998</v>
      </c>
      <c r="J82" s="11">
        <f>K82-I82</f>
        <v>82.114182000001165</v>
      </c>
      <c r="K82" s="11">
        <v>24151.23</v>
      </c>
      <c r="L82" s="12">
        <v>0.99659999999999993</v>
      </c>
      <c r="M82" s="11">
        <v>224.64</v>
      </c>
      <c r="N82" s="11">
        <v>800.43</v>
      </c>
      <c r="O82" s="13">
        <v>5.7000000000000002E-3</v>
      </c>
      <c r="P82" s="13">
        <v>0.15160000000000001</v>
      </c>
      <c r="Q82" s="13">
        <v>0.44090000000000001</v>
      </c>
      <c r="R82" s="13">
        <v>0.33189999999999997</v>
      </c>
      <c r="S82" s="13"/>
      <c r="T82" s="13">
        <v>6.9900000000000004E-2</v>
      </c>
      <c r="U82" s="14" t="s">
        <v>230</v>
      </c>
      <c r="V82" s="15">
        <f>SUM(O82:T82)</f>
        <v>1</v>
      </c>
    </row>
    <row r="83" spans="2:22" ht="30" x14ac:dyDescent="0.25">
      <c r="B83" s="7">
        <v>1289</v>
      </c>
      <c r="C83" s="7" t="s">
        <v>53</v>
      </c>
      <c r="D83" s="8" t="s">
        <v>227</v>
      </c>
      <c r="E83" s="7"/>
      <c r="F83" s="7" t="s">
        <v>234</v>
      </c>
      <c r="G83" s="9" t="s">
        <v>229</v>
      </c>
      <c r="H83" s="10">
        <v>44468</v>
      </c>
      <c r="I83" s="11">
        <v>561.28</v>
      </c>
      <c r="J83" s="11">
        <v>78.720000000000027</v>
      </c>
      <c r="K83" s="11">
        <v>640</v>
      </c>
      <c r="L83" s="12">
        <v>0.877</v>
      </c>
      <c r="M83" s="11">
        <v>213.1</v>
      </c>
      <c r="N83" s="11">
        <v>439.39</v>
      </c>
      <c r="O83" s="13">
        <v>2.5899999999999999E-2</v>
      </c>
      <c r="P83" s="13">
        <v>0.42859999999999998</v>
      </c>
      <c r="Q83" s="13">
        <v>0.52200000000000002</v>
      </c>
      <c r="R83" s="13">
        <v>1.3899999999999999E-2</v>
      </c>
      <c r="S83" s="13"/>
      <c r="T83" s="13">
        <v>9.4999999999999998E-3</v>
      </c>
      <c r="U83" s="14" t="s">
        <v>230</v>
      </c>
      <c r="V83" s="15">
        <v>0.9998999999999999</v>
      </c>
    </row>
    <row r="84" spans="2:22" ht="30" x14ac:dyDescent="0.25">
      <c r="B84" s="7">
        <v>894</v>
      </c>
      <c r="C84" s="7" t="s">
        <v>54</v>
      </c>
      <c r="D84" s="8" t="s">
        <v>227</v>
      </c>
      <c r="E84" s="7"/>
      <c r="F84" s="7" t="s">
        <v>283</v>
      </c>
      <c r="G84" s="9" t="s">
        <v>229</v>
      </c>
      <c r="H84" s="10">
        <v>44260</v>
      </c>
      <c r="I84" s="11">
        <v>10314.81</v>
      </c>
      <c r="J84" s="11">
        <v>35.190000000000509</v>
      </c>
      <c r="K84" s="11">
        <v>10350</v>
      </c>
      <c r="L84" s="12">
        <v>0.99659999999999993</v>
      </c>
      <c r="M84" s="11">
        <v>198.04</v>
      </c>
      <c r="N84" s="11">
        <v>340.6</v>
      </c>
      <c r="O84" s="13">
        <v>0.47710000000000002</v>
      </c>
      <c r="P84" s="13"/>
      <c r="Q84" s="13">
        <v>0.23849999999999999</v>
      </c>
      <c r="R84" s="13"/>
      <c r="S84" s="13">
        <v>0.19270000000000001</v>
      </c>
      <c r="T84" s="13">
        <v>9.1700000000000004E-2</v>
      </c>
      <c r="U84" s="14" t="s">
        <v>247</v>
      </c>
      <c r="V84" s="15">
        <v>1</v>
      </c>
    </row>
    <row r="85" spans="2:22" ht="30" x14ac:dyDescent="0.25">
      <c r="B85" s="7">
        <v>1294</v>
      </c>
      <c r="C85" s="7" t="s">
        <v>54</v>
      </c>
      <c r="D85" s="8" t="s">
        <v>227</v>
      </c>
      <c r="E85" s="7"/>
      <c r="F85" s="7" t="s">
        <v>283</v>
      </c>
      <c r="G85" s="9" t="s">
        <v>229</v>
      </c>
      <c r="H85" s="10">
        <v>44470</v>
      </c>
      <c r="I85" s="11">
        <v>10314.81</v>
      </c>
      <c r="J85" s="11">
        <v>35.190000000000509</v>
      </c>
      <c r="K85" s="11">
        <v>10350</v>
      </c>
      <c r="L85" s="12">
        <v>0.99659999999999993</v>
      </c>
      <c r="M85" s="11">
        <v>96.11</v>
      </c>
      <c r="N85" s="11">
        <v>629.49</v>
      </c>
      <c r="O85" s="13">
        <v>1.0200000000000001E-2</v>
      </c>
      <c r="P85" s="13">
        <v>0.17910000000000001</v>
      </c>
      <c r="Q85" s="13">
        <v>0.56969999999999998</v>
      </c>
      <c r="R85" s="13">
        <v>0.18459999999999999</v>
      </c>
      <c r="S85" s="13"/>
      <c r="T85" s="13">
        <v>5.6399999999999999E-2</v>
      </c>
      <c r="U85" s="14" t="s">
        <v>230</v>
      </c>
      <c r="V85" s="15">
        <v>1</v>
      </c>
    </row>
    <row r="86" spans="2:22" ht="30" x14ac:dyDescent="0.25">
      <c r="B86" s="7">
        <v>1755</v>
      </c>
      <c r="C86" s="7" t="s">
        <v>55</v>
      </c>
      <c r="D86" s="8" t="s">
        <v>227</v>
      </c>
      <c r="E86" s="7"/>
      <c r="F86" s="7" t="s">
        <v>234</v>
      </c>
      <c r="G86" s="9" t="s">
        <v>229</v>
      </c>
      <c r="H86" s="10">
        <v>44804</v>
      </c>
      <c r="I86" s="11">
        <f>K86*L86</f>
        <v>9593.811783000001</v>
      </c>
      <c r="J86" s="11">
        <f>K86-I86</f>
        <v>54.998216999998476</v>
      </c>
      <c r="K86" s="11">
        <v>9648.81</v>
      </c>
      <c r="L86" s="12">
        <v>0.99430000000000007</v>
      </c>
      <c r="M86" s="11">
        <v>82.85</v>
      </c>
      <c r="N86" s="11">
        <v>128.83000000000001</v>
      </c>
      <c r="O86" s="13">
        <v>7.4200000000000002E-2</v>
      </c>
      <c r="P86" s="13">
        <v>0.21940000000000001</v>
      </c>
      <c r="Q86" s="13">
        <v>0.50649999999999995</v>
      </c>
      <c r="R86" s="13">
        <v>0.15909999999999999</v>
      </c>
      <c r="S86" s="13"/>
      <c r="T86" s="13">
        <v>4.0800000000000003E-2</v>
      </c>
      <c r="U86" s="14" t="s">
        <v>230</v>
      </c>
      <c r="V86" s="15">
        <f>SUM(O86:T86)</f>
        <v>1</v>
      </c>
    </row>
    <row r="87" spans="2:22" ht="30" x14ac:dyDescent="0.25">
      <c r="B87" s="7">
        <v>2005</v>
      </c>
      <c r="C87" s="7" t="s">
        <v>56</v>
      </c>
      <c r="D87" s="8" t="s">
        <v>227</v>
      </c>
      <c r="E87" s="7"/>
      <c r="F87" s="7" t="s">
        <v>257</v>
      </c>
      <c r="G87" s="9" t="s">
        <v>229</v>
      </c>
      <c r="H87" s="10">
        <v>44916</v>
      </c>
      <c r="I87" s="11">
        <f>K87*L87</f>
        <v>15401.543252000001</v>
      </c>
      <c r="J87" s="11">
        <f>K87-I87</f>
        <v>41.696747999998479</v>
      </c>
      <c r="K87" s="11">
        <v>15443.24</v>
      </c>
      <c r="L87" s="12">
        <v>0.99730000000000008</v>
      </c>
      <c r="M87" s="11">
        <v>612.9</v>
      </c>
      <c r="N87" s="11">
        <v>1331.9</v>
      </c>
      <c r="O87" s="13">
        <v>1.78E-2</v>
      </c>
      <c r="P87" s="13">
        <v>0.14960000000000001</v>
      </c>
      <c r="Q87" s="13">
        <v>0.44119999999999998</v>
      </c>
      <c r="R87" s="13">
        <v>0.35659999999999997</v>
      </c>
      <c r="S87" s="13"/>
      <c r="T87" s="13">
        <v>3.4799999999999998E-2</v>
      </c>
      <c r="U87" s="14" t="s">
        <v>230</v>
      </c>
      <c r="V87" s="15">
        <f>SUM(O87:T87)</f>
        <v>1</v>
      </c>
    </row>
    <row r="88" spans="2:22" ht="30" x14ac:dyDescent="0.25">
      <c r="B88" s="7">
        <v>273</v>
      </c>
      <c r="C88" s="7" t="s">
        <v>57</v>
      </c>
      <c r="D88" s="8" t="s">
        <v>227</v>
      </c>
      <c r="E88" s="7"/>
      <c r="F88" s="7" t="s">
        <v>238</v>
      </c>
      <c r="G88" s="9" t="s">
        <v>229</v>
      </c>
      <c r="H88" s="10">
        <v>44082</v>
      </c>
      <c r="I88" s="11">
        <v>8999.2412399999994</v>
      </c>
      <c r="J88" s="11">
        <v>63.438760000000912</v>
      </c>
      <c r="K88" s="11">
        <v>9062.68</v>
      </c>
      <c r="L88" s="12">
        <v>0.99299999999999999</v>
      </c>
      <c r="M88" s="11">
        <v>91.68</v>
      </c>
      <c r="N88" s="11">
        <v>100.32</v>
      </c>
      <c r="O88" s="13">
        <v>3.1600000000000003E-2</v>
      </c>
      <c r="P88" s="13"/>
      <c r="Q88" s="13">
        <v>0.15609999999999999</v>
      </c>
      <c r="R88" s="13"/>
      <c r="S88" s="13">
        <v>0.28760000000000002</v>
      </c>
      <c r="T88" s="13">
        <v>0.52470000000000006</v>
      </c>
      <c r="U88" s="14" t="s">
        <v>230</v>
      </c>
      <c r="V88" s="15">
        <v>1</v>
      </c>
    </row>
    <row r="89" spans="2:22" ht="30" x14ac:dyDescent="0.25">
      <c r="B89" s="7">
        <v>779</v>
      </c>
      <c r="C89" s="7" t="s">
        <v>58</v>
      </c>
      <c r="D89" s="8" t="s">
        <v>227</v>
      </c>
      <c r="E89" s="7"/>
      <c r="F89" s="7" t="s">
        <v>238</v>
      </c>
      <c r="G89" s="9" t="s">
        <v>229</v>
      </c>
      <c r="H89" s="10">
        <v>44242</v>
      </c>
      <c r="I89" s="11">
        <v>4489.3443500000003</v>
      </c>
      <c r="J89" s="11">
        <v>68.365649999999732</v>
      </c>
      <c r="K89" s="11">
        <v>4557.71</v>
      </c>
      <c r="L89" s="12">
        <v>0.98499999999999999</v>
      </c>
      <c r="M89" s="11">
        <v>112.4</v>
      </c>
      <c r="N89" s="11">
        <v>269.14999999999998</v>
      </c>
      <c r="O89" s="13">
        <v>5.4100000000000002E-2</v>
      </c>
      <c r="P89" s="13"/>
      <c r="Q89" s="13">
        <v>8.5199999999999998E-2</v>
      </c>
      <c r="R89" s="13"/>
      <c r="S89" s="13">
        <v>0.25319999999999998</v>
      </c>
      <c r="T89" s="13">
        <v>0.60750000000000004</v>
      </c>
      <c r="U89" s="14" t="s">
        <v>230</v>
      </c>
      <c r="V89" s="15">
        <v>1</v>
      </c>
    </row>
    <row r="90" spans="2:22" ht="30" x14ac:dyDescent="0.25">
      <c r="B90" s="7">
        <v>925</v>
      </c>
      <c r="C90" s="7" t="s">
        <v>59</v>
      </c>
      <c r="D90" s="8" t="s">
        <v>227</v>
      </c>
      <c r="E90" s="7"/>
      <c r="F90" s="7" t="s">
        <v>244</v>
      </c>
      <c r="G90" s="9" t="s">
        <v>229</v>
      </c>
      <c r="H90" s="10">
        <v>44274</v>
      </c>
      <c r="I90" s="11">
        <v>5989.8799630000003</v>
      </c>
      <c r="J90" s="11">
        <v>35.550036999999975</v>
      </c>
      <c r="K90" s="11">
        <v>6025.43</v>
      </c>
      <c r="L90" s="12">
        <v>0.99409999999999998</v>
      </c>
      <c r="M90" s="11">
        <v>1257.4000000000001</v>
      </c>
      <c r="N90" s="11">
        <v>2131.62</v>
      </c>
      <c r="O90" s="13">
        <v>0.13750000000000001</v>
      </c>
      <c r="P90" s="13"/>
      <c r="Q90" s="13">
        <v>0.5726</v>
      </c>
      <c r="R90" s="13"/>
      <c r="S90" s="13">
        <v>0.20649999999999999</v>
      </c>
      <c r="T90" s="13">
        <v>8.3400000000000002E-2</v>
      </c>
      <c r="U90" s="14" t="s">
        <v>230</v>
      </c>
      <c r="V90" s="15">
        <v>1</v>
      </c>
    </row>
    <row r="91" spans="2:22" ht="30" x14ac:dyDescent="0.25">
      <c r="B91" s="7">
        <v>1609</v>
      </c>
      <c r="C91" s="7" t="s">
        <v>60</v>
      </c>
      <c r="D91" s="8" t="s">
        <v>227</v>
      </c>
      <c r="E91" s="7"/>
      <c r="F91" s="7" t="s">
        <v>272</v>
      </c>
      <c r="G91" s="9" t="s">
        <v>229</v>
      </c>
      <c r="H91" s="10">
        <v>44728</v>
      </c>
      <c r="I91" s="11">
        <f>K91*L91</f>
        <v>10498.787759000001</v>
      </c>
      <c r="J91" s="11">
        <f>K91-I91</f>
        <v>43.222240999999485</v>
      </c>
      <c r="K91" s="11">
        <v>10542.01</v>
      </c>
      <c r="L91" s="12">
        <v>0.99590000000000001</v>
      </c>
      <c r="M91" s="11">
        <v>368.93</v>
      </c>
      <c r="N91" s="11">
        <v>658.14</v>
      </c>
      <c r="O91" s="13">
        <v>1.0999999999999999E-2</v>
      </c>
      <c r="P91" s="13">
        <v>7.5899999999999995E-2</v>
      </c>
      <c r="Q91" s="13">
        <v>0.20799999999999999</v>
      </c>
      <c r="R91" s="13">
        <v>0.44479999999999997</v>
      </c>
      <c r="S91" s="13"/>
      <c r="T91" s="13">
        <v>0.26029999999999998</v>
      </c>
      <c r="U91" s="14" t="s">
        <v>230</v>
      </c>
      <c r="V91" s="15">
        <f>SUM(O91:T91)</f>
        <v>1</v>
      </c>
    </row>
    <row r="92" spans="2:22" ht="30" x14ac:dyDescent="0.25">
      <c r="B92" s="7">
        <v>774</v>
      </c>
      <c r="C92" s="7" t="s">
        <v>60</v>
      </c>
      <c r="D92" s="8" t="s">
        <v>227</v>
      </c>
      <c r="E92" s="7"/>
      <c r="F92" s="7" t="s">
        <v>272</v>
      </c>
      <c r="G92" s="9" t="s">
        <v>229</v>
      </c>
      <c r="H92" s="10">
        <v>44238</v>
      </c>
      <c r="I92" s="11">
        <v>9576.1458299999995</v>
      </c>
      <c r="J92" s="11">
        <v>47.154169999999795</v>
      </c>
      <c r="K92" s="11">
        <v>9623.2999999999993</v>
      </c>
      <c r="L92" s="12">
        <v>0.9951000000000001</v>
      </c>
      <c r="M92" s="11">
        <v>212.34</v>
      </c>
      <c r="N92" s="11">
        <v>638</v>
      </c>
      <c r="O92" s="13">
        <v>0.16200000000000001</v>
      </c>
      <c r="P92" s="13"/>
      <c r="Q92" s="13">
        <v>0.31640000000000001</v>
      </c>
      <c r="R92" s="13"/>
      <c r="S92" s="13">
        <v>0.31169999999999998</v>
      </c>
      <c r="T92" s="13">
        <v>0.2099</v>
      </c>
      <c r="U92" s="14" t="s">
        <v>230</v>
      </c>
      <c r="V92" s="15">
        <v>1</v>
      </c>
    </row>
    <row r="93" spans="2:22" ht="30" x14ac:dyDescent="0.25">
      <c r="B93" s="7">
        <v>156</v>
      </c>
      <c r="C93" s="7" t="s">
        <v>60</v>
      </c>
      <c r="D93" s="8" t="s">
        <v>227</v>
      </c>
      <c r="E93" s="7"/>
      <c r="F93" s="7" t="s">
        <v>272</v>
      </c>
      <c r="G93" s="9" t="s">
        <v>229</v>
      </c>
      <c r="H93" s="10">
        <v>44055</v>
      </c>
      <c r="I93" s="11">
        <v>9576.1458299999995</v>
      </c>
      <c r="J93" s="11">
        <v>47.154169999999795</v>
      </c>
      <c r="K93" s="11">
        <v>9623.2999999999993</v>
      </c>
      <c r="L93" s="12">
        <v>0.9951000000000001</v>
      </c>
      <c r="M93" s="11">
        <v>80.87</v>
      </c>
      <c r="N93" s="11">
        <v>81.64</v>
      </c>
      <c r="O93" s="13">
        <v>0.16850000000000001</v>
      </c>
      <c r="P93" s="13"/>
      <c r="Q93" s="13">
        <v>0.34510000000000002</v>
      </c>
      <c r="R93" s="13"/>
      <c r="S93" s="13">
        <v>0.15820000000000001</v>
      </c>
      <c r="T93" s="13">
        <v>0.32829999999999998</v>
      </c>
      <c r="U93" s="14" t="s">
        <v>247</v>
      </c>
      <c r="V93" s="15">
        <v>1.0001</v>
      </c>
    </row>
    <row r="94" spans="2:22" ht="30" x14ac:dyDescent="0.25">
      <c r="B94" s="7">
        <v>1752</v>
      </c>
      <c r="C94" s="7" t="s">
        <v>61</v>
      </c>
      <c r="D94" s="8" t="s">
        <v>227</v>
      </c>
      <c r="E94" s="7"/>
      <c r="F94" s="7" t="s">
        <v>270</v>
      </c>
      <c r="G94" s="9" t="s">
        <v>229</v>
      </c>
      <c r="H94" s="10">
        <v>44803</v>
      </c>
      <c r="I94" s="11">
        <f>K94*L94</f>
        <v>951.3368999999999</v>
      </c>
      <c r="J94" s="11">
        <f>K94-I94</f>
        <v>89.513100000000009</v>
      </c>
      <c r="K94" s="11">
        <v>1040.8499999999999</v>
      </c>
      <c r="L94" s="12">
        <v>0.91400000000000003</v>
      </c>
      <c r="M94" s="11">
        <v>170.56</v>
      </c>
      <c r="N94" s="11">
        <v>231.58</v>
      </c>
      <c r="O94" s="13">
        <v>0.25409999999999999</v>
      </c>
      <c r="P94" s="13">
        <v>0.69199999999999995</v>
      </c>
      <c r="Q94" s="13">
        <v>3.3799999999999997E-2</v>
      </c>
      <c r="R94" s="13">
        <v>1.04E-2</v>
      </c>
      <c r="S94" s="13"/>
      <c r="T94" s="13">
        <v>9.7999999999999997E-3</v>
      </c>
      <c r="U94" s="14" t="s">
        <v>230</v>
      </c>
      <c r="V94" s="15">
        <f>SUM(O94:T94)</f>
        <v>1.0001</v>
      </c>
    </row>
    <row r="95" spans="2:22" ht="30" x14ac:dyDescent="0.25">
      <c r="B95" s="7">
        <v>167</v>
      </c>
      <c r="C95" s="7" t="s">
        <v>62</v>
      </c>
      <c r="D95" s="8" t="s">
        <v>227</v>
      </c>
      <c r="E95" s="7"/>
      <c r="F95" s="7" t="s">
        <v>270</v>
      </c>
      <c r="G95" s="9" t="s">
        <v>229</v>
      </c>
      <c r="H95" s="10">
        <v>44056</v>
      </c>
      <c r="I95" s="11">
        <v>1808.11617</v>
      </c>
      <c r="J95" s="11">
        <v>50.173829999999953</v>
      </c>
      <c r="K95" s="11">
        <v>1858.29</v>
      </c>
      <c r="L95" s="12">
        <v>0.97299999999999998</v>
      </c>
      <c r="M95" s="11">
        <v>93.1</v>
      </c>
      <c r="N95" s="11">
        <v>98.79</v>
      </c>
      <c r="O95" s="13">
        <v>7.5700000000000003E-2</v>
      </c>
      <c r="P95" s="13"/>
      <c r="Q95" s="13">
        <v>0.13730000000000001</v>
      </c>
      <c r="R95" s="13"/>
      <c r="S95" s="13">
        <v>6.0499999999999998E-2</v>
      </c>
      <c r="T95" s="13">
        <v>0.72650000000000003</v>
      </c>
      <c r="U95" s="14" t="s">
        <v>247</v>
      </c>
      <c r="V95" s="15">
        <v>1</v>
      </c>
    </row>
    <row r="96" spans="2:22" ht="30" x14ac:dyDescent="0.25">
      <c r="B96" s="7">
        <v>589</v>
      </c>
      <c r="C96" s="7" t="s">
        <v>63</v>
      </c>
      <c r="D96" s="8" t="s">
        <v>227</v>
      </c>
      <c r="E96" s="7"/>
      <c r="F96" s="7" t="s">
        <v>297</v>
      </c>
      <c r="G96" s="9" t="s">
        <v>229</v>
      </c>
      <c r="H96" s="10">
        <v>44193</v>
      </c>
      <c r="I96" s="11">
        <v>5522.9442500000005</v>
      </c>
      <c r="J96" s="11">
        <v>84.105749999999716</v>
      </c>
      <c r="K96" s="11">
        <v>5607.05</v>
      </c>
      <c r="L96" s="12">
        <v>0.98499999999999999</v>
      </c>
      <c r="M96" s="11">
        <v>120.38</v>
      </c>
      <c r="N96" s="11">
        <v>123.11</v>
      </c>
      <c r="O96" s="13">
        <v>4.4600000000000001E-2</v>
      </c>
      <c r="P96" s="13"/>
      <c r="Q96" s="13">
        <v>0.24379999999999999</v>
      </c>
      <c r="R96" s="13"/>
      <c r="S96" s="13">
        <v>0.3594</v>
      </c>
      <c r="T96" s="13">
        <v>0.35220000000000001</v>
      </c>
      <c r="U96" s="14" t="s">
        <v>230</v>
      </c>
      <c r="V96" s="15">
        <v>1</v>
      </c>
    </row>
    <row r="97" spans="2:22" ht="30" x14ac:dyDescent="0.25">
      <c r="B97" s="7">
        <v>1614</v>
      </c>
      <c r="C97" s="7" t="s">
        <v>64</v>
      </c>
      <c r="D97" s="8" t="s">
        <v>227</v>
      </c>
      <c r="E97" s="7"/>
      <c r="F97" s="7" t="s">
        <v>306</v>
      </c>
      <c r="G97" s="9" t="s">
        <v>229</v>
      </c>
      <c r="H97" s="10">
        <v>44729</v>
      </c>
      <c r="I97" s="11">
        <f>K97*L97</f>
        <v>6253.4807190000001</v>
      </c>
      <c r="J97" s="11">
        <f>K97-I97</f>
        <v>57.429280999999719</v>
      </c>
      <c r="K97" s="11">
        <v>6310.91</v>
      </c>
      <c r="L97" s="12">
        <v>0.9909</v>
      </c>
      <c r="M97" s="11">
        <v>88.17</v>
      </c>
      <c r="N97" s="11">
        <v>696.02</v>
      </c>
      <c r="O97" s="13">
        <v>4.0399999999999998E-2</v>
      </c>
      <c r="P97" s="13">
        <v>0.24099999999999999</v>
      </c>
      <c r="Q97" s="13">
        <v>0.49490000000000001</v>
      </c>
      <c r="R97" s="13">
        <v>0.1053</v>
      </c>
      <c r="S97" s="13"/>
      <c r="T97" s="13">
        <v>0.1183</v>
      </c>
      <c r="U97" s="14" t="s">
        <v>230</v>
      </c>
      <c r="V97" s="15">
        <f>SUM(O97:T97)</f>
        <v>0.9998999999999999</v>
      </c>
    </row>
    <row r="98" spans="2:22" ht="30" x14ac:dyDescent="0.25">
      <c r="B98" s="7">
        <v>474</v>
      </c>
      <c r="C98" s="7" t="s">
        <v>65</v>
      </c>
      <c r="D98" s="8" t="s">
        <v>227</v>
      </c>
      <c r="E98" s="7"/>
      <c r="F98" s="7" t="s">
        <v>252</v>
      </c>
      <c r="G98" s="9" t="s">
        <v>233</v>
      </c>
      <c r="H98" s="10">
        <v>44158</v>
      </c>
      <c r="I98" s="11">
        <v>2210.0153949999999</v>
      </c>
      <c r="J98" s="11">
        <v>56.43460499999992</v>
      </c>
      <c r="K98" s="11">
        <v>2266.4499999999998</v>
      </c>
      <c r="L98" s="12">
        <v>0.97510000000000008</v>
      </c>
      <c r="M98" s="11">
        <v>189.73</v>
      </c>
      <c r="N98" s="11">
        <v>380.26</v>
      </c>
      <c r="O98" s="13">
        <v>6.7799999999999999E-2</v>
      </c>
      <c r="P98" s="13"/>
      <c r="Q98" s="13">
        <v>5.7299999999999997E-2</v>
      </c>
      <c r="R98" s="13"/>
      <c r="S98" s="13">
        <v>9.9199999999999997E-2</v>
      </c>
      <c r="T98" s="13">
        <v>0.77569999999999995</v>
      </c>
      <c r="U98" s="14" t="s">
        <v>247</v>
      </c>
      <c r="V98" s="15">
        <v>1</v>
      </c>
    </row>
    <row r="99" spans="2:22" ht="30" x14ac:dyDescent="0.25">
      <c r="B99" s="7">
        <v>202</v>
      </c>
      <c r="C99" s="7" t="s">
        <v>65</v>
      </c>
      <c r="D99" s="8" t="s">
        <v>227</v>
      </c>
      <c r="E99" s="7"/>
      <c r="F99" s="7" t="s">
        <v>252</v>
      </c>
      <c r="G99" s="9" t="s">
        <v>233</v>
      </c>
      <c r="H99" s="10">
        <v>44069</v>
      </c>
      <c r="I99" s="11">
        <v>2210.0153949999999</v>
      </c>
      <c r="J99" s="11">
        <v>56.43460499999992</v>
      </c>
      <c r="K99" s="11">
        <v>2266.4499999999998</v>
      </c>
      <c r="L99" s="12">
        <v>0.97510000000000008</v>
      </c>
      <c r="M99" s="11">
        <v>83.02</v>
      </c>
      <c r="N99" s="11">
        <v>88.56</v>
      </c>
      <c r="O99" s="13">
        <v>0.13239999999999999</v>
      </c>
      <c r="P99" s="13"/>
      <c r="Q99" s="13">
        <v>0.53749999999999998</v>
      </c>
      <c r="R99" s="13"/>
      <c r="S99" s="13">
        <v>0.1236</v>
      </c>
      <c r="T99" s="13">
        <v>0.20649999999999999</v>
      </c>
      <c r="U99" s="14" t="s">
        <v>230</v>
      </c>
      <c r="V99" s="15">
        <v>1</v>
      </c>
    </row>
    <row r="100" spans="2:22" ht="30" x14ac:dyDescent="0.25">
      <c r="B100" s="7">
        <v>908</v>
      </c>
      <c r="C100" s="7" t="s">
        <v>66</v>
      </c>
      <c r="D100" s="8" t="s">
        <v>227</v>
      </c>
      <c r="E100" s="7"/>
      <c r="F100" s="7" t="s">
        <v>259</v>
      </c>
      <c r="G100" s="9" t="s">
        <v>229</v>
      </c>
      <c r="H100" s="10">
        <v>44271</v>
      </c>
      <c r="I100" s="11">
        <v>16427.576364</v>
      </c>
      <c r="J100" s="11">
        <v>70.943635999999969</v>
      </c>
      <c r="K100" s="11">
        <v>16498.52</v>
      </c>
      <c r="L100" s="12">
        <v>0.99569999999999992</v>
      </c>
      <c r="M100" s="11">
        <v>545.08000000000004</v>
      </c>
      <c r="N100" s="11">
        <v>869.14</v>
      </c>
      <c r="O100" s="13">
        <v>6.13E-2</v>
      </c>
      <c r="P100" s="13"/>
      <c r="Q100" s="13">
        <v>6.6699999999999995E-2</v>
      </c>
      <c r="R100" s="13"/>
      <c r="S100" s="13">
        <v>0.2316</v>
      </c>
      <c r="T100" s="13">
        <v>0.64049999999999996</v>
      </c>
      <c r="U100" s="14" t="s">
        <v>247</v>
      </c>
      <c r="V100" s="15">
        <v>1.0001</v>
      </c>
    </row>
    <row r="101" spans="2:22" ht="30" x14ac:dyDescent="0.25">
      <c r="B101" s="7">
        <v>601</v>
      </c>
      <c r="C101" s="7" t="s">
        <v>66</v>
      </c>
      <c r="D101" s="8" t="s">
        <v>227</v>
      </c>
      <c r="E101" s="7"/>
      <c r="F101" s="7" t="s">
        <v>259</v>
      </c>
      <c r="G101" s="9" t="s">
        <v>229</v>
      </c>
      <c r="H101" s="10">
        <v>44195</v>
      </c>
      <c r="I101" s="11">
        <v>16427.576364</v>
      </c>
      <c r="J101" s="11">
        <v>70.943635999999969</v>
      </c>
      <c r="K101" s="11">
        <v>16498.52</v>
      </c>
      <c r="L101" s="12">
        <v>0.99569999999999992</v>
      </c>
      <c r="M101" s="11">
        <v>123.55</v>
      </c>
      <c r="N101" s="11">
        <v>123.88</v>
      </c>
      <c r="O101" s="13">
        <v>1.67E-2</v>
      </c>
      <c r="P101" s="13"/>
      <c r="Q101" s="13">
        <v>0.1205</v>
      </c>
      <c r="R101" s="13"/>
      <c r="S101" s="13">
        <v>0.41610000000000003</v>
      </c>
      <c r="T101" s="13">
        <v>0.44679999999999997</v>
      </c>
      <c r="U101" s="14" t="s">
        <v>230</v>
      </c>
      <c r="V101" s="15">
        <v>1.0001</v>
      </c>
    </row>
    <row r="102" spans="2:22" ht="30" x14ac:dyDescent="0.25">
      <c r="B102" s="7">
        <v>2033</v>
      </c>
      <c r="C102" s="7" t="s">
        <v>67</v>
      </c>
      <c r="D102" s="8" t="str">
        <f>IFERROR(VLOOKUP(C102,[3]Hoja1!$B$3:$J$1048576,2,FALSE),0)</f>
        <v>ESP</v>
      </c>
      <c r="E102" s="7"/>
      <c r="F102" s="7" t="str">
        <f>IFERROR(VLOOKUP(C102,[2]Sheet1!$B$3:$J$1048576,9,FALSE),0)</f>
        <v>C5dB</v>
      </c>
      <c r="G102" s="9" t="str">
        <f>IFERROR(VLOOKUP(C102,[2]Sheet1!$B$3:$K$1048576,10,FALSE),0)</f>
        <v>CRAVO NORTE</v>
      </c>
      <c r="H102" s="10">
        <v>44928</v>
      </c>
      <c r="I102" s="11">
        <f>K102*L102</f>
        <v>0</v>
      </c>
      <c r="J102" s="11">
        <f>K102-I102</f>
        <v>0</v>
      </c>
      <c r="K102" s="11">
        <f>IFERROR(IF([1]!Tabla1[[#This Row],[POZO]]="",K101,VLOOKUP(C102,[2]Sheet1!$B$3:$E$1048576,2,FALSE)),0)</f>
        <v>0</v>
      </c>
      <c r="L102" s="12">
        <f>IFERROR(IF([1]!Tabla1[[#This Row],[POZO]]="",L101,VLOOKUP([1]!Tabla1[[#This Row],[POZO]],[2]Sheet1!$B$3:$M$1048576,6,FALSE)),0)</f>
        <v>0</v>
      </c>
      <c r="M102" s="11">
        <v>556.67999999999995</v>
      </c>
      <c r="N102" s="11">
        <v>1365.2</v>
      </c>
      <c r="O102" s="13">
        <v>0.2702</v>
      </c>
      <c r="P102" s="13">
        <v>0.53200000000000003</v>
      </c>
      <c r="Q102" s="13">
        <v>0.1416</v>
      </c>
      <c r="R102" s="13">
        <v>3.5000000000000003E-2</v>
      </c>
      <c r="S102" s="13"/>
      <c r="T102" s="13">
        <v>2.12E-2</v>
      </c>
      <c r="U102" s="14" t="s">
        <v>230</v>
      </c>
      <c r="V102" s="15">
        <f>SUM(O102:T102)</f>
        <v>1</v>
      </c>
    </row>
    <row r="103" spans="2:22" ht="30" x14ac:dyDescent="0.25">
      <c r="B103" s="7">
        <v>504</v>
      </c>
      <c r="C103" s="7" t="s">
        <v>67</v>
      </c>
      <c r="D103" s="8" t="s">
        <v>227</v>
      </c>
      <c r="E103" s="7"/>
      <c r="F103" s="7" t="s">
        <v>251</v>
      </c>
      <c r="G103" s="9" t="s">
        <v>229</v>
      </c>
      <c r="H103" s="10">
        <v>44172</v>
      </c>
      <c r="I103" s="11">
        <v>967.351</v>
      </c>
      <c r="J103" s="11">
        <v>67.24899999999991</v>
      </c>
      <c r="K103" s="11">
        <v>1034.5999999999999</v>
      </c>
      <c r="L103" s="12">
        <v>0.93500000000000005</v>
      </c>
      <c r="M103" s="11">
        <v>123.12</v>
      </c>
      <c r="N103" s="11">
        <v>161.55000000000001</v>
      </c>
      <c r="O103" s="13">
        <v>7.7100000000000002E-2</v>
      </c>
      <c r="P103" s="13"/>
      <c r="Q103" s="13">
        <v>0.46379999999999999</v>
      </c>
      <c r="R103" s="13"/>
      <c r="S103" s="13">
        <v>0.2031</v>
      </c>
      <c r="T103" s="13">
        <v>0.25590000000000002</v>
      </c>
      <c r="U103" s="14" t="s">
        <v>247</v>
      </c>
      <c r="V103" s="15">
        <v>0.99990000000000001</v>
      </c>
    </row>
    <row r="104" spans="2:22" ht="30" x14ac:dyDescent="0.25">
      <c r="B104" s="7">
        <v>312</v>
      </c>
      <c r="C104" s="7" t="s">
        <v>68</v>
      </c>
      <c r="D104" s="8" t="s">
        <v>254</v>
      </c>
      <c r="E104" s="7"/>
      <c r="F104" s="7" t="s">
        <v>252</v>
      </c>
      <c r="G104" s="9" t="s">
        <v>229</v>
      </c>
      <c r="H104" s="10">
        <v>44095</v>
      </c>
      <c r="I104" s="11">
        <v>42.699999999999996</v>
      </c>
      <c r="J104" s="11">
        <v>27.300000000000004</v>
      </c>
      <c r="K104" s="11">
        <v>70</v>
      </c>
      <c r="L104" s="12">
        <v>0.61</v>
      </c>
      <c r="M104" s="11">
        <v>204.82</v>
      </c>
      <c r="N104" s="11">
        <v>207.19</v>
      </c>
      <c r="O104" s="13">
        <v>0.2238</v>
      </c>
      <c r="P104" s="13"/>
      <c r="Q104" s="13">
        <v>0.74270000000000003</v>
      </c>
      <c r="R104" s="13"/>
      <c r="S104" s="13">
        <v>2.8799999999999999E-2</v>
      </c>
      <c r="T104" s="13">
        <v>4.7000000000000002E-3</v>
      </c>
      <c r="U104" s="14" t="s">
        <v>247</v>
      </c>
      <c r="V104" s="15">
        <v>1</v>
      </c>
    </row>
    <row r="105" spans="2:22" ht="30" x14ac:dyDescent="0.25">
      <c r="B105" s="7">
        <v>1833</v>
      </c>
      <c r="C105" s="7" t="s">
        <v>69</v>
      </c>
      <c r="D105" s="8" t="s">
        <v>227</v>
      </c>
      <c r="E105" s="7"/>
      <c r="F105" s="7" t="s">
        <v>234</v>
      </c>
      <c r="G105" s="9" t="s">
        <v>229</v>
      </c>
      <c r="H105" s="10">
        <v>44833</v>
      </c>
      <c r="I105" s="11">
        <f>K105*L105</f>
        <v>2454.1</v>
      </c>
      <c r="J105" s="11">
        <f>K105-I105</f>
        <v>75.900000000000091</v>
      </c>
      <c r="K105" s="11">
        <v>2530</v>
      </c>
      <c r="L105" s="12">
        <v>0.97</v>
      </c>
      <c r="M105" s="11">
        <v>1005.87</v>
      </c>
      <c r="N105" s="11">
        <v>1776.6</v>
      </c>
      <c r="O105" s="13">
        <v>1.12E-2</v>
      </c>
      <c r="P105" s="13">
        <v>0.16139999999999999</v>
      </c>
      <c r="Q105" s="13">
        <v>0.2427</v>
      </c>
      <c r="R105" s="13">
        <v>0.50390000000000001</v>
      </c>
      <c r="S105" s="13"/>
      <c r="T105" s="13">
        <v>8.0799999999999997E-2</v>
      </c>
      <c r="U105" s="14" t="s">
        <v>230</v>
      </c>
      <c r="V105" s="15">
        <f>SUM(O105:T105)</f>
        <v>1</v>
      </c>
    </row>
    <row r="106" spans="2:22" x14ac:dyDescent="0.25">
      <c r="B106" s="7">
        <v>1342</v>
      </c>
      <c r="C106" s="7" t="s">
        <v>69</v>
      </c>
      <c r="D106" s="8" t="s">
        <v>227</v>
      </c>
      <c r="E106" s="7"/>
      <c r="F106" s="7" t="s">
        <v>234</v>
      </c>
      <c r="G106" s="9" t="s">
        <v>229</v>
      </c>
      <c r="H106" s="10">
        <v>44523</v>
      </c>
      <c r="I106" s="11">
        <v>1746</v>
      </c>
      <c r="J106" s="11">
        <v>54</v>
      </c>
      <c r="K106" s="11">
        <v>1800</v>
      </c>
      <c r="L106" s="12">
        <v>0.97</v>
      </c>
      <c r="M106" s="11">
        <v>440.22</v>
      </c>
      <c r="N106" s="11">
        <v>851.32</v>
      </c>
      <c r="O106" s="13">
        <v>2.8999999999999998E-3</v>
      </c>
      <c r="P106" s="13">
        <v>6.6900000000000001E-2</v>
      </c>
      <c r="Q106" s="13">
        <v>0.4919</v>
      </c>
      <c r="R106" s="13">
        <v>0.40260000000000001</v>
      </c>
      <c r="S106" s="13"/>
      <c r="T106" s="13">
        <v>3.5799999999999998E-2</v>
      </c>
      <c r="U106" s="14" t="s">
        <v>230</v>
      </c>
      <c r="V106" s="15">
        <v>1.0001</v>
      </c>
    </row>
    <row r="107" spans="2:22" x14ac:dyDescent="0.25">
      <c r="B107" s="7">
        <v>1863</v>
      </c>
      <c r="C107" s="7" t="s">
        <v>69</v>
      </c>
      <c r="D107" s="8" t="s">
        <v>227</v>
      </c>
      <c r="E107" s="7"/>
      <c r="F107" s="7" t="s">
        <v>234</v>
      </c>
      <c r="G107" s="9" t="s">
        <v>229</v>
      </c>
      <c r="H107" s="10">
        <v>44845</v>
      </c>
      <c r="I107" s="11">
        <f>K107*L107</f>
        <v>2454.1</v>
      </c>
      <c r="J107" s="11">
        <f>K107-I107</f>
        <v>75.900000000000091</v>
      </c>
      <c r="K107" s="11">
        <v>2530</v>
      </c>
      <c r="L107" s="12">
        <v>0.97</v>
      </c>
      <c r="M107" s="11">
        <v>370.33</v>
      </c>
      <c r="N107" s="11">
        <v>432.13</v>
      </c>
      <c r="O107" s="13">
        <v>2.18E-2</v>
      </c>
      <c r="P107" s="13">
        <v>6.4799999999999996E-2</v>
      </c>
      <c r="Q107" s="13">
        <v>0.4093</v>
      </c>
      <c r="R107" s="13">
        <v>0.3765</v>
      </c>
      <c r="S107" s="13"/>
      <c r="T107" s="13">
        <v>0.12770000000000001</v>
      </c>
      <c r="U107" s="14" t="s">
        <v>230</v>
      </c>
      <c r="V107" s="15">
        <f>SUM(O107:T107)</f>
        <v>1.0001</v>
      </c>
    </row>
    <row r="108" spans="2:22" x14ac:dyDescent="0.25">
      <c r="B108" s="7">
        <v>831</v>
      </c>
      <c r="C108" s="7" t="s">
        <v>70</v>
      </c>
      <c r="D108" s="8" t="s">
        <v>227</v>
      </c>
      <c r="E108" s="7"/>
      <c r="F108" s="7" t="s">
        <v>244</v>
      </c>
      <c r="G108" s="9" t="s">
        <v>229</v>
      </c>
      <c r="H108" s="10">
        <v>44250</v>
      </c>
      <c r="I108" s="11">
        <v>3700.9490289999999</v>
      </c>
      <c r="J108" s="11">
        <v>37.760971000000154</v>
      </c>
      <c r="K108" s="11">
        <v>3738.71</v>
      </c>
      <c r="L108" s="12">
        <v>0.9899</v>
      </c>
      <c r="M108" s="11">
        <v>374.43</v>
      </c>
      <c r="N108" s="11">
        <v>545.80999999999995</v>
      </c>
      <c r="O108" s="13">
        <v>0.33389999999999997</v>
      </c>
      <c r="P108" s="13"/>
      <c r="Q108" s="13">
        <v>0.55779999999999996</v>
      </c>
      <c r="R108" s="13"/>
      <c r="S108" s="13">
        <v>8.8900000000000007E-2</v>
      </c>
      <c r="T108" s="13">
        <v>1.9400000000000001E-2</v>
      </c>
      <c r="U108" s="14" t="s">
        <v>230</v>
      </c>
      <c r="V108" s="15">
        <v>0.99999999999999989</v>
      </c>
    </row>
    <row r="109" spans="2:22" ht="30" x14ac:dyDescent="0.25">
      <c r="B109" s="7">
        <v>362</v>
      </c>
      <c r="C109" s="7" t="s">
        <v>70</v>
      </c>
      <c r="D109" s="8" t="s">
        <v>227</v>
      </c>
      <c r="E109" s="7"/>
      <c r="F109" s="7" t="s">
        <v>244</v>
      </c>
      <c r="G109" s="9" t="s">
        <v>229</v>
      </c>
      <c r="H109" s="10">
        <v>44130</v>
      </c>
      <c r="I109" s="11">
        <v>3700.9490289999999</v>
      </c>
      <c r="J109" s="11">
        <v>37.760971000000154</v>
      </c>
      <c r="K109" s="11">
        <v>3738.71</v>
      </c>
      <c r="L109" s="12">
        <v>0.9899</v>
      </c>
      <c r="M109" s="11">
        <v>333.75</v>
      </c>
      <c r="N109" s="11">
        <v>334.36</v>
      </c>
      <c r="O109" s="13">
        <v>0.25280000000000002</v>
      </c>
      <c r="P109" s="13"/>
      <c r="Q109" s="13">
        <v>0.60070000000000001</v>
      </c>
      <c r="R109" s="13"/>
      <c r="S109" s="13">
        <v>7.7600000000000002E-2</v>
      </c>
      <c r="T109" s="13">
        <v>6.8900000000000003E-2</v>
      </c>
      <c r="U109" s="14" t="s">
        <v>230</v>
      </c>
      <c r="V109" s="15">
        <v>1</v>
      </c>
    </row>
    <row r="110" spans="2:22" ht="30" x14ac:dyDescent="0.25">
      <c r="B110" s="7">
        <v>497</v>
      </c>
      <c r="C110" s="7" t="s">
        <v>70</v>
      </c>
      <c r="D110" s="8" t="s">
        <v>227</v>
      </c>
      <c r="E110" s="7"/>
      <c r="F110" s="7" t="s">
        <v>244</v>
      </c>
      <c r="G110" s="9" t="s">
        <v>229</v>
      </c>
      <c r="H110" s="10">
        <v>44172</v>
      </c>
      <c r="I110" s="11">
        <v>3700.9490289999999</v>
      </c>
      <c r="J110" s="11">
        <v>37.760971000000154</v>
      </c>
      <c r="K110" s="11">
        <v>3738.71</v>
      </c>
      <c r="L110" s="12">
        <v>0.9899</v>
      </c>
      <c r="M110" s="11">
        <v>117.89</v>
      </c>
      <c r="N110" s="11">
        <v>119.06</v>
      </c>
      <c r="O110" s="13">
        <v>0.1986</v>
      </c>
      <c r="P110" s="13"/>
      <c r="Q110" s="13">
        <v>0.53439999999999999</v>
      </c>
      <c r="R110" s="13"/>
      <c r="S110" s="13">
        <v>7.51E-2</v>
      </c>
      <c r="T110" s="13">
        <v>0.1918</v>
      </c>
      <c r="U110" s="14" t="s">
        <v>230</v>
      </c>
      <c r="V110" s="15">
        <v>0.99990000000000001</v>
      </c>
    </row>
    <row r="111" spans="2:22" ht="30" x14ac:dyDescent="0.25">
      <c r="B111" s="7">
        <v>1538</v>
      </c>
      <c r="C111" s="7" t="s">
        <v>71</v>
      </c>
      <c r="D111" s="8" t="s">
        <v>227</v>
      </c>
      <c r="E111" s="7"/>
      <c r="F111" s="7" t="s">
        <v>244</v>
      </c>
      <c r="G111" s="9" t="s">
        <v>229</v>
      </c>
      <c r="H111" s="10">
        <v>44692</v>
      </c>
      <c r="I111" s="11">
        <f t="shared" ref="I111:I117" si="0">K111*L111</f>
        <v>30928.699999999997</v>
      </c>
      <c r="J111" s="11">
        <f t="shared" ref="J111:J117" si="1">K111-I111</f>
        <v>71.30000000000291</v>
      </c>
      <c r="K111" s="11">
        <v>31000</v>
      </c>
      <c r="L111" s="12">
        <v>0.99769999999999992</v>
      </c>
      <c r="M111" s="11">
        <v>194.58</v>
      </c>
      <c r="N111" s="11">
        <v>438.02</v>
      </c>
      <c r="O111" s="13">
        <v>9.64E-2</v>
      </c>
      <c r="P111" s="13">
        <v>6.25E-2</v>
      </c>
      <c r="Q111" s="13">
        <v>0.36099999999999999</v>
      </c>
      <c r="R111" s="13">
        <v>0.40029999999999999</v>
      </c>
      <c r="S111" s="13"/>
      <c r="T111" s="13">
        <v>7.9799999999999996E-2</v>
      </c>
      <c r="U111" s="14" t="s">
        <v>230</v>
      </c>
      <c r="V111" s="15">
        <f t="shared" ref="V111:V117" si="2">SUM(O111:T111)</f>
        <v>1</v>
      </c>
    </row>
    <row r="112" spans="2:22" ht="30" x14ac:dyDescent="0.25">
      <c r="B112" s="7">
        <v>1435</v>
      </c>
      <c r="C112" s="7" t="s">
        <v>71</v>
      </c>
      <c r="D112" s="8" t="s">
        <v>227</v>
      </c>
      <c r="E112" s="7"/>
      <c r="F112" s="7" t="s">
        <v>244</v>
      </c>
      <c r="G112" s="9" t="s">
        <v>229</v>
      </c>
      <c r="H112" s="10">
        <v>44621</v>
      </c>
      <c r="I112" s="11">
        <f t="shared" si="0"/>
        <v>30928.699999999997</v>
      </c>
      <c r="J112" s="11">
        <f t="shared" si="1"/>
        <v>71.30000000000291</v>
      </c>
      <c r="K112" s="11">
        <v>31000</v>
      </c>
      <c r="L112" s="12">
        <v>0.99769999999999992</v>
      </c>
      <c r="M112" s="11">
        <v>117.25</v>
      </c>
      <c r="N112" s="11">
        <v>224.24</v>
      </c>
      <c r="O112" s="13">
        <v>1.04E-2</v>
      </c>
      <c r="P112" s="13">
        <v>0.05</v>
      </c>
      <c r="Q112" s="13">
        <v>0.37759999999999999</v>
      </c>
      <c r="R112" s="13">
        <v>0.40839999999999999</v>
      </c>
      <c r="S112" s="13"/>
      <c r="T112" s="13">
        <v>0.1537</v>
      </c>
      <c r="U112" s="14" t="s">
        <v>230</v>
      </c>
      <c r="V112" s="15">
        <f t="shared" si="2"/>
        <v>1.0001</v>
      </c>
    </row>
    <row r="113" spans="2:22" ht="30" x14ac:dyDescent="0.25">
      <c r="B113" s="7">
        <v>1644</v>
      </c>
      <c r="C113" s="7" t="s">
        <v>72</v>
      </c>
      <c r="D113" s="8" t="s">
        <v>227</v>
      </c>
      <c r="E113" s="7"/>
      <c r="F113" s="7" t="s">
        <v>234</v>
      </c>
      <c r="G113" s="9" t="s">
        <v>229</v>
      </c>
      <c r="H113" s="10">
        <v>44748</v>
      </c>
      <c r="I113" s="16">
        <f t="shared" si="0"/>
        <v>294.45</v>
      </c>
      <c r="J113" s="16">
        <f t="shared" si="1"/>
        <v>5.5500000000000114</v>
      </c>
      <c r="K113" s="11">
        <v>300</v>
      </c>
      <c r="L113" s="12">
        <v>0.98150000000000004</v>
      </c>
      <c r="M113" s="11">
        <v>164.74</v>
      </c>
      <c r="N113" s="11">
        <v>1290</v>
      </c>
      <c r="O113" s="17">
        <v>0.1037</v>
      </c>
      <c r="P113" s="17">
        <v>0.40739999999999998</v>
      </c>
      <c r="Q113" s="17">
        <v>0.2752</v>
      </c>
      <c r="R113" s="17">
        <v>0.17269999999999999</v>
      </c>
      <c r="S113" s="17"/>
      <c r="T113" s="17">
        <v>4.1000000000000002E-2</v>
      </c>
      <c r="U113" s="7" t="s">
        <v>230</v>
      </c>
      <c r="V113" s="15">
        <f t="shared" si="2"/>
        <v>1</v>
      </c>
    </row>
    <row r="114" spans="2:22" ht="30" x14ac:dyDescent="0.25">
      <c r="B114" s="7">
        <v>2168</v>
      </c>
      <c r="C114" s="7" t="s">
        <v>73</v>
      </c>
      <c r="D114" s="8" t="s">
        <v>227</v>
      </c>
      <c r="E114" s="7"/>
      <c r="F114" s="7" t="s">
        <v>241</v>
      </c>
      <c r="G114" s="9" t="s">
        <v>229</v>
      </c>
      <c r="H114" s="10">
        <v>45051</v>
      </c>
      <c r="I114" s="11">
        <f t="shared" si="0"/>
        <v>0</v>
      </c>
      <c r="J114" s="11">
        <f t="shared" si="1"/>
        <v>0</v>
      </c>
      <c r="K114" s="11">
        <f>IFERROR(IF([1]!Tabla1[[#This Row],[POZO]]="",K111,VLOOKUP(C114,[2]Sheet1!$B$3:$E$1048576,2,FALSE)),0)</f>
        <v>0</v>
      </c>
      <c r="L114" s="12">
        <v>0.98</v>
      </c>
      <c r="M114" s="11">
        <v>209.49807977173811</v>
      </c>
      <c r="N114" s="11">
        <v>471.65913674581759</v>
      </c>
      <c r="O114" s="13">
        <v>2.1842159488975891E-2</v>
      </c>
      <c r="P114" s="13">
        <v>0.18050690294663094</v>
      </c>
      <c r="Q114" s="13">
        <v>0.66639192252215129</v>
      </c>
      <c r="R114" s="13">
        <v>7.5005151452709667E-2</v>
      </c>
      <c r="S114" s="13"/>
      <c r="T114" s="13">
        <v>5.6253863589532251E-2</v>
      </c>
      <c r="U114" s="14" t="s">
        <v>230</v>
      </c>
      <c r="V114" s="15">
        <f t="shared" si="2"/>
        <v>1</v>
      </c>
    </row>
    <row r="115" spans="2:22" ht="30" x14ac:dyDescent="0.25">
      <c r="B115" s="7">
        <v>1597</v>
      </c>
      <c r="C115" s="7" t="s">
        <v>73</v>
      </c>
      <c r="D115" s="8" t="s">
        <v>227</v>
      </c>
      <c r="E115" s="7"/>
      <c r="F115" s="7" t="s">
        <v>241</v>
      </c>
      <c r="G115" s="9" t="s">
        <v>229</v>
      </c>
      <c r="H115" s="10">
        <v>44722</v>
      </c>
      <c r="I115" s="11">
        <f t="shared" si="0"/>
        <v>2116.6432</v>
      </c>
      <c r="J115" s="11">
        <f t="shared" si="1"/>
        <v>43.196800000000167</v>
      </c>
      <c r="K115" s="11">
        <v>2159.84</v>
      </c>
      <c r="L115" s="12">
        <v>0.98</v>
      </c>
      <c r="M115" s="11">
        <v>163.85</v>
      </c>
      <c r="N115" s="11">
        <v>543.86</v>
      </c>
      <c r="O115" s="13">
        <v>1.5800000000000002E-2</v>
      </c>
      <c r="P115" s="13">
        <v>0.1946</v>
      </c>
      <c r="Q115" s="13">
        <v>0.65490000000000004</v>
      </c>
      <c r="R115" s="13">
        <v>0.1012</v>
      </c>
      <c r="S115" s="13"/>
      <c r="T115" s="13">
        <v>3.3500000000000002E-2</v>
      </c>
      <c r="U115" s="14" t="s">
        <v>230</v>
      </c>
      <c r="V115" s="15">
        <f t="shared" si="2"/>
        <v>1</v>
      </c>
    </row>
    <row r="116" spans="2:22" ht="30" x14ac:dyDescent="0.25">
      <c r="B116" s="7">
        <v>2209</v>
      </c>
      <c r="C116" s="7" t="s">
        <v>74</v>
      </c>
      <c r="D116" s="8" t="s">
        <v>227</v>
      </c>
      <c r="E116" s="7"/>
      <c r="F116" s="7" t="s">
        <v>244</v>
      </c>
      <c r="G116" s="9" t="s">
        <v>229</v>
      </c>
      <c r="H116" s="10">
        <v>45069</v>
      </c>
      <c r="I116" s="11">
        <f t="shared" si="0"/>
        <v>0</v>
      </c>
      <c r="J116" s="11">
        <f t="shared" si="1"/>
        <v>0</v>
      </c>
      <c r="K116" s="11">
        <f>IFERROR(IF([1]!Tabla1[[#This Row],[POZO]]="",K115,VLOOKUP(C116,[2]Sheet1!$B$3:$E$1048576,2,FALSE)),0)</f>
        <v>0</v>
      </c>
      <c r="L116" s="12">
        <v>0.997</v>
      </c>
      <c r="M116" s="11">
        <v>137.21062561046924</v>
      </c>
      <c r="N116" s="11">
        <v>251.28632929037093</v>
      </c>
      <c r="O116" s="13">
        <v>1.9957234497505343E-2</v>
      </c>
      <c r="P116" s="13">
        <v>6.9850320741268707E-2</v>
      </c>
      <c r="Q116" s="13">
        <v>0.1632216678545973</v>
      </c>
      <c r="R116" s="13">
        <v>0.38488952245188879</v>
      </c>
      <c r="S116" s="13"/>
      <c r="T116" s="13">
        <v>0.36208125445473982</v>
      </c>
      <c r="U116" s="14" t="s">
        <v>230</v>
      </c>
      <c r="V116" s="15">
        <f t="shared" si="2"/>
        <v>1</v>
      </c>
    </row>
    <row r="117" spans="2:22" ht="30" x14ac:dyDescent="0.25">
      <c r="B117" s="7">
        <v>1846</v>
      </c>
      <c r="C117" s="7" t="s">
        <v>74</v>
      </c>
      <c r="D117" s="8" t="s">
        <v>227</v>
      </c>
      <c r="E117" s="7"/>
      <c r="F117" s="7" t="s">
        <v>244</v>
      </c>
      <c r="G117" s="9" t="s">
        <v>229</v>
      </c>
      <c r="H117" s="10">
        <v>44838</v>
      </c>
      <c r="I117" s="11">
        <f t="shared" si="0"/>
        <v>18596.592349999999</v>
      </c>
      <c r="J117" s="11">
        <f t="shared" si="1"/>
        <v>55.957650000000285</v>
      </c>
      <c r="K117" s="11">
        <v>18652.55</v>
      </c>
      <c r="L117" s="12">
        <v>0.997</v>
      </c>
      <c r="M117" s="11">
        <v>111.68</v>
      </c>
      <c r="N117" s="11">
        <v>187.38</v>
      </c>
      <c r="O117" s="13">
        <v>2.35E-2</v>
      </c>
      <c r="P117" s="13">
        <v>0.1245</v>
      </c>
      <c r="Q117" s="13">
        <v>0.20269999999999999</v>
      </c>
      <c r="R117" s="13">
        <v>0.50349999999999995</v>
      </c>
      <c r="S117" s="13"/>
      <c r="T117" s="13">
        <v>0.14580000000000001</v>
      </c>
      <c r="U117" s="14" t="s">
        <v>230</v>
      </c>
      <c r="V117" s="15">
        <f t="shared" si="2"/>
        <v>1</v>
      </c>
    </row>
    <row r="118" spans="2:22" x14ac:dyDescent="0.25">
      <c r="B118" s="7">
        <v>901</v>
      </c>
      <c r="C118" s="7" t="s">
        <v>75</v>
      </c>
      <c r="D118" s="8" t="s">
        <v>227</v>
      </c>
      <c r="E118" s="7"/>
      <c r="F118" s="7" t="s">
        <v>241</v>
      </c>
      <c r="G118" s="9" t="s">
        <v>229</v>
      </c>
      <c r="H118" s="10">
        <v>44270</v>
      </c>
      <c r="I118" s="11">
        <v>1816.0640999999998</v>
      </c>
      <c r="J118" s="11">
        <v>25.785900000000083</v>
      </c>
      <c r="K118" s="11">
        <v>1841.85</v>
      </c>
      <c r="L118" s="12">
        <v>0.98599999999999999</v>
      </c>
      <c r="M118" s="11">
        <v>458.58</v>
      </c>
      <c r="N118" s="11">
        <v>1062.55</v>
      </c>
      <c r="O118" s="13">
        <v>0.35570000000000002</v>
      </c>
      <c r="P118" s="13"/>
      <c r="Q118" s="13">
        <v>0.22589999999999999</v>
      </c>
      <c r="R118" s="13"/>
      <c r="S118" s="13">
        <v>0.2586</v>
      </c>
      <c r="T118" s="13">
        <v>0.1598</v>
      </c>
      <c r="U118" s="14" t="s">
        <v>230</v>
      </c>
      <c r="V118" s="15">
        <v>1</v>
      </c>
    </row>
    <row r="119" spans="2:22" x14ac:dyDescent="0.25">
      <c r="B119" s="7">
        <v>837</v>
      </c>
      <c r="C119" s="7" t="s">
        <v>75</v>
      </c>
      <c r="D119" s="8" t="s">
        <v>227</v>
      </c>
      <c r="E119" s="7"/>
      <c r="F119" s="7" t="s">
        <v>241</v>
      </c>
      <c r="G119" s="9" t="s">
        <v>229</v>
      </c>
      <c r="H119" s="10">
        <v>44250</v>
      </c>
      <c r="I119" s="11">
        <v>1816.0640999999998</v>
      </c>
      <c r="J119" s="11">
        <v>25.785900000000083</v>
      </c>
      <c r="K119" s="11">
        <v>1841.85</v>
      </c>
      <c r="L119" s="12">
        <v>0.98599999999999999</v>
      </c>
      <c r="M119" s="11">
        <v>335.63</v>
      </c>
      <c r="N119" s="11">
        <v>474.42</v>
      </c>
      <c r="O119" s="13">
        <v>8.5900000000000004E-2</v>
      </c>
      <c r="P119" s="13"/>
      <c r="Q119" s="13">
        <v>0.76839999999999997</v>
      </c>
      <c r="R119" s="13"/>
      <c r="S119" s="13">
        <v>8.8599999999999998E-2</v>
      </c>
      <c r="T119" s="13">
        <v>5.7099999999999998E-2</v>
      </c>
      <c r="U119" s="14" t="s">
        <v>230</v>
      </c>
      <c r="V119" s="15">
        <v>1</v>
      </c>
    </row>
    <row r="120" spans="2:22" ht="30" x14ac:dyDescent="0.25">
      <c r="B120" s="7">
        <v>856</v>
      </c>
      <c r="C120" s="7" t="s">
        <v>75</v>
      </c>
      <c r="D120" s="8" t="s">
        <v>227</v>
      </c>
      <c r="E120" s="7"/>
      <c r="F120" s="7" t="s">
        <v>241</v>
      </c>
      <c r="G120" s="9" t="s">
        <v>229</v>
      </c>
      <c r="H120" s="10">
        <v>44253</v>
      </c>
      <c r="I120" s="11">
        <v>1816.0640999999998</v>
      </c>
      <c r="J120" s="11">
        <v>25.785900000000083</v>
      </c>
      <c r="K120" s="11">
        <v>1841.85</v>
      </c>
      <c r="L120" s="12">
        <v>0.98599999999999999</v>
      </c>
      <c r="M120" s="11">
        <v>140.19999999999999</v>
      </c>
      <c r="N120" s="11">
        <v>229.19</v>
      </c>
      <c r="O120" s="13">
        <v>8.5400000000000004E-2</v>
      </c>
      <c r="P120" s="13"/>
      <c r="Q120" s="13">
        <v>0.54900000000000004</v>
      </c>
      <c r="R120" s="13"/>
      <c r="S120" s="13">
        <v>0.14599999999999999</v>
      </c>
      <c r="T120" s="13">
        <v>0.21970000000000001</v>
      </c>
      <c r="U120" s="14" t="s">
        <v>230</v>
      </c>
      <c r="V120" s="15">
        <v>1.0001000000000002</v>
      </c>
    </row>
    <row r="121" spans="2:22" ht="30" x14ac:dyDescent="0.25">
      <c r="B121" s="7">
        <v>1174</v>
      </c>
      <c r="C121" s="7" t="s">
        <v>75</v>
      </c>
      <c r="D121" s="8" t="s">
        <v>227</v>
      </c>
      <c r="E121" s="7"/>
      <c r="F121" s="7" t="s">
        <v>241</v>
      </c>
      <c r="G121" s="9" t="s">
        <v>229</v>
      </c>
      <c r="H121" s="10">
        <v>44403</v>
      </c>
      <c r="I121" s="11">
        <v>1816.0640999999998</v>
      </c>
      <c r="J121" s="11">
        <v>25.785900000000083</v>
      </c>
      <c r="K121" s="11">
        <v>1841.85</v>
      </c>
      <c r="L121" s="12">
        <v>0.98599999999999999</v>
      </c>
      <c r="M121" s="11">
        <v>127.81</v>
      </c>
      <c r="N121" s="11">
        <v>290.82</v>
      </c>
      <c r="O121" s="13">
        <v>6.4699999999999994E-2</v>
      </c>
      <c r="P121" s="13">
        <v>0.17929999999999999</v>
      </c>
      <c r="Q121" s="13">
        <v>0.61860000000000004</v>
      </c>
      <c r="R121" s="13">
        <v>5.5599999999999997E-2</v>
      </c>
      <c r="S121" s="13"/>
      <c r="T121" s="13">
        <v>8.1900000000000001E-2</v>
      </c>
      <c r="U121" s="14" t="s">
        <v>230</v>
      </c>
      <c r="V121" s="15">
        <v>1.0001</v>
      </c>
    </row>
    <row r="122" spans="2:22" ht="30" x14ac:dyDescent="0.25">
      <c r="B122" s="7">
        <v>87</v>
      </c>
      <c r="C122" s="7" t="s">
        <v>76</v>
      </c>
      <c r="D122" s="8" t="s">
        <v>227</v>
      </c>
      <c r="E122" s="7" t="s">
        <v>229</v>
      </c>
      <c r="F122" s="7" t="s">
        <v>289</v>
      </c>
      <c r="G122" s="9" t="s">
        <v>229</v>
      </c>
      <c r="H122" s="10">
        <v>43907</v>
      </c>
      <c r="I122" s="11">
        <v>1153.2</v>
      </c>
      <c r="J122" s="11">
        <v>46.799999999999955</v>
      </c>
      <c r="K122" s="11">
        <v>1200</v>
      </c>
      <c r="L122" s="12">
        <v>0.96099999999999997</v>
      </c>
      <c r="M122" s="11">
        <v>128.83000000000001</v>
      </c>
      <c r="N122" s="11">
        <v>130.05000000000001</v>
      </c>
      <c r="O122" s="13">
        <v>7.6499999999999999E-2</v>
      </c>
      <c r="P122" s="13"/>
      <c r="Q122" s="13">
        <v>0.2772</v>
      </c>
      <c r="R122" s="13"/>
      <c r="S122" s="13">
        <v>0.34179999999999999</v>
      </c>
      <c r="T122" s="13">
        <v>0.30459999999999998</v>
      </c>
      <c r="U122" s="14" t="s">
        <v>230</v>
      </c>
      <c r="V122" s="15">
        <v>1.0001</v>
      </c>
    </row>
    <row r="123" spans="2:22" x14ac:dyDescent="0.25">
      <c r="B123" s="7">
        <v>1074</v>
      </c>
      <c r="C123" s="7" t="s">
        <v>76</v>
      </c>
      <c r="D123" s="8" t="s">
        <v>227</v>
      </c>
      <c r="E123" s="7"/>
      <c r="F123" s="7" t="s">
        <v>289</v>
      </c>
      <c r="G123" s="9" t="s">
        <v>229</v>
      </c>
      <c r="H123" s="10">
        <v>44319</v>
      </c>
      <c r="I123" s="11">
        <v>1153.2</v>
      </c>
      <c r="J123" s="11">
        <v>46.799999999999955</v>
      </c>
      <c r="K123" s="11">
        <v>1200</v>
      </c>
      <c r="L123" s="12">
        <v>0.96099999999999997</v>
      </c>
      <c r="M123" s="11">
        <v>127.37</v>
      </c>
      <c r="N123" s="11">
        <v>1139.1400000000001</v>
      </c>
      <c r="O123" s="13">
        <v>5.5100000000000003E-2</v>
      </c>
      <c r="P123" s="13">
        <v>8.1500000000000003E-2</v>
      </c>
      <c r="Q123" s="13">
        <v>0.13039999999999999</v>
      </c>
      <c r="R123" s="13">
        <v>0.2671</v>
      </c>
      <c r="S123" s="13"/>
      <c r="T123" s="13">
        <v>0.46579999999999999</v>
      </c>
      <c r="U123" s="14" t="s">
        <v>247</v>
      </c>
      <c r="V123" s="15">
        <v>0.99990000000000001</v>
      </c>
    </row>
    <row r="124" spans="2:22" ht="30" x14ac:dyDescent="0.25">
      <c r="B124" s="7">
        <v>2188</v>
      </c>
      <c r="C124" s="7" t="s">
        <v>77</v>
      </c>
      <c r="D124" s="8" t="s">
        <v>227</v>
      </c>
      <c r="E124" s="7"/>
      <c r="F124" s="7" t="s">
        <v>241</v>
      </c>
      <c r="G124" s="9" t="s">
        <v>229</v>
      </c>
      <c r="H124" s="10">
        <v>45061</v>
      </c>
      <c r="I124" s="11">
        <f>K124*L124</f>
        <v>0</v>
      </c>
      <c r="J124" s="11">
        <f>K124-I124</f>
        <v>0</v>
      </c>
      <c r="K124" s="11">
        <f>IFERROR(IF([1]!Tabla1[[#This Row],[POZO]]="",K123,VLOOKUP(C124,[2]Sheet1!$B$3:$E$1048576,2,FALSE)),0)</f>
        <v>0</v>
      </c>
      <c r="L124" s="12">
        <v>0.98</v>
      </c>
      <c r="M124" s="11">
        <v>168.67056008494271</v>
      </c>
      <c r="N124" s="11">
        <v>559.77386839432324</v>
      </c>
      <c r="O124" s="13">
        <v>4.959785522788205E-2</v>
      </c>
      <c r="P124" s="13">
        <v>0.10455764075067026</v>
      </c>
      <c r="Q124" s="13">
        <v>0.47721179624664889</v>
      </c>
      <c r="R124" s="13">
        <v>0.14209115281501344</v>
      </c>
      <c r="S124" s="13"/>
      <c r="T124" s="13">
        <v>0.22654155495978553</v>
      </c>
      <c r="U124" s="14" t="s">
        <v>230</v>
      </c>
      <c r="V124" s="15">
        <f>SUM(O124:T124)</f>
        <v>1.0000000000000002</v>
      </c>
    </row>
    <row r="125" spans="2:22" ht="30" x14ac:dyDescent="0.25">
      <c r="B125" s="7">
        <v>1619</v>
      </c>
      <c r="C125" s="7" t="s">
        <v>78</v>
      </c>
      <c r="D125" s="8" t="s">
        <v>227</v>
      </c>
      <c r="E125" s="7"/>
      <c r="F125" s="7" t="s">
        <v>261</v>
      </c>
      <c r="G125" s="9" t="s">
        <v>229</v>
      </c>
      <c r="H125" s="10">
        <v>44734</v>
      </c>
      <c r="I125" s="11">
        <f>K125*L125</f>
        <v>687</v>
      </c>
      <c r="J125" s="11">
        <f>K125-I125</f>
        <v>63</v>
      </c>
      <c r="K125" s="11">
        <v>750</v>
      </c>
      <c r="L125" s="12">
        <v>0.91599999999999993</v>
      </c>
      <c r="M125" s="11">
        <v>301.75</v>
      </c>
      <c r="N125" s="11">
        <v>1809.17</v>
      </c>
      <c r="O125" s="13">
        <v>7.7499999999999999E-2</v>
      </c>
      <c r="P125" s="13">
        <v>0.82010000000000005</v>
      </c>
      <c r="Q125" s="13">
        <v>7.2900000000000006E-2</v>
      </c>
      <c r="R125" s="13">
        <v>2.3599999999999999E-2</v>
      </c>
      <c r="S125" s="13"/>
      <c r="T125" s="13">
        <v>6.0000000000000001E-3</v>
      </c>
      <c r="U125" s="14" t="s">
        <v>230</v>
      </c>
      <c r="V125" s="15">
        <f>SUM(O125:T125)</f>
        <v>1.0001</v>
      </c>
    </row>
    <row r="126" spans="2:22" ht="30" x14ac:dyDescent="0.25">
      <c r="B126" s="7">
        <v>1208</v>
      </c>
      <c r="C126" s="7" t="s">
        <v>78</v>
      </c>
      <c r="D126" s="8" t="s">
        <v>227</v>
      </c>
      <c r="E126" s="7"/>
      <c r="F126" s="7" t="s">
        <v>261</v>
      </c>
      <c r="G126" s="9" t="s">
        <v>229</v>
      </c>
      <c r="H126" s="10">
        <v>44421</v>
      </c>
      <c r="I126" s="11">
        <v>608.66399999999999</v>
      </c>
      <c r="J126" s="11">
        <v>115.93600000000004</v>
      </c>
      <c r="K126" s="11">
        <v>724.6</v>
      </c>
      <c r="L126" s="12">
        <v>0.84</v>
      </c>
      <c r="M126" s="11">
        <v>286.27999999999997</v>
      </c>
      <c r="N126" s="11">
        <v>727.66</v>
      </c>
      <c r="O126" s="13">
        <v>3.6700000000000003E-2</v>
      </c>
      <c r="P126" s="13">
        <v>9.7699999999999995E-2</v>
      </c>
      <c r="Q126" s="13">
        <v>0.82199999999999995</v>
      </c>
      <c r="R126" s="13">
        <v>2.64E-2</v>
      </c>
      <c r="S126" s="13"/>
      <c r="T126" s="13">
        <v>1.7299999999999999E-2</v>
      </c>
      <c r="U126" s="14" t="s">
        <v>230</v>
      </c>
      <c r="V126" s="15">
        <v>1.0001</v>
      </c>
    </row>
    <row r="127" spans="2:22" ht="30" x14ac:dyDescent="0.25">
      <c r="B127" s="7">
        <v>1462</v>
      </c>
      <c r="C127" s="7" t="s">
        <v>78</v>
      </c>
      <c r="D127" s="8" t="s">
        <v>227</v>
      </c>
      <c r="E127" s="7"/>
      <c r="F127" s="7" t="s">
        <v>261</v>
      </c>
      <c r="G127" s="9" t="s">
        <v>229</v>
      </c>
      <c r="H127" s="10">
        <v>44643</v>
      </c>
      <c r="I127" s="11">
        <f>K127*L127</f>
        <v>687</v>
      </c>
      <c r="J127" s="11">
        <f>K127-I127</f>
        <v>63</v>
      </c>
      <c r="K127" s="11">
        <v>750</v>
      </c>
      <c r="L127" s="12">
        <v>0.91599999999999993</v>
      </c>
      <c r="M127" s="11">
        <v>246.08</v>
      </c>
      <c r="N127" s="11">
        <v>587.17999999999995</v>
      </c>
      <c r="O127" s="13">
        <v>0.26240000000000002</v>
      </c>
      <c r="P127" s="13">
        <v>0.55920000000000003</v>
      </c>
      <c r="Q127" s="13">
        <v>0.13900000000000001</v>
      </c>
      <c r="R127" s="13">
        <v>2.41E-2</v>
      </c>
      <c r="S127" s="13"/>
      <c r="T127" s="13">
        <v>1.54E-2</v>
      </c>
      <c r="U127" s="14" t="s">
        <v>230</v>
      </c>
      <c r="V127" s="15">
        <f>SUM(O127:T127)</f>
        <v>1.0001000000000002</v>
      </c>
    </row>
    <row r="128" spans="2:22" ht="30" x14ac:dyDescent="0.25">
      <c r="B128" s="7">
        <v>1630</v>
      </c>
      <c r="C128" s="7" t="s">
        <v>78</v>
      </c>
      <c r="D128" s="8" t="s">
        <v>227</v>
      </c>
      <c r="E128" s="7"/>
      <c r="F128" s="7" t="s">
        <v>261</v>
      </c>
      <c r="G128" s="9" t="s">
        <v>229</v>
      </c>
      <c r="H128" s="10">
        <v>44740</v>
      </c>
      <c r="I128" s="11">
        <f>K128*L128</f>
        <v>687</v>
      </c>
      <c r="J128" s="11">
        <f>K128-I128</f>
        <v>63</v>
      </c>
      <c r="K128" s="11">
        <v>750</v>
      </c>
      <c r="L128" s="12">
        <v>0.91599999999999993</v>
      </c>
      <c r="M128" s="11">
        <v>214.52</v>
      </c>
      <c r="N128" s="11">
        <v>543.03</v>
      </c>
      <c r="O128" s="13">
        <v>5.4399999999999997E-2</v>
      </c>
      <c r="P128" s="13">
        <v>0.60299999999999998</v>
      </c>
      <c r="Q128" s="13">
        <v>0.26669999999999999</v>
      </c>
      <c r="R128" s="13">
        <v>4.0099999999999997E-2</v>
      </c>
      <c r="S128" s="13"/>
      <c r="T128" s="13">
        <v>3.5799999999999998E-2</v>
      </c>
      <c r="U128" s="14" t="s">
        <v>230</v>
      </c>
      <c r="V128" s="15">
        <f>SUM(O128:T128)</f>
        <v>1</v>
      </c>
    </row>
    <row r="129" spans="2:22" x14ac:dyDescent="0.25">
      <c r="B129" s="7">
        <v>838</v>
      </c>
      <c r="C129" s="7" t="s">
        <v>78</v>
      </c>
      <c r="D129" s="8" t="s">
        <v>227</v>
      </c>
      <c r="E129" s="7"/>
      <c r="F129" s="7" t="s">
        <v>261</v>
      </c>
      <c r="G129" s="9" t="s">
        <v>229</v>
      </c>
      <c r="H129" s="10">
        <v>44250</v>
      </c>
      <c r="I129" s="11">
        <v>608.66399999999999</v>
      </c>
      <c r="J129" s="11">
        <v>115.93600000000004</v>
      </c>
      <c r="K129" s="11">
        <v>724.6</v>
      </c>
      <c r="L129" s="12">
        <v>0.84</v>
      </c>
      <c r="M129" s="11">
        <v>177.99</v>
      </c>
      <c r="N129" s="11">
        <v>328.31</v>
      </c>
      <c r="O129" s="13">
        <v>4.87E-2</v>
      </c>
      <c r="P129" s="13"/>
      <c r="Q129" s="13">
        <v>0.62260000000000004</v>
      </c>
      <c r="R129" s="13"/>
      <c r="S129" s="13">
        <v>0.26540000000000002</v>
      </c>
      <c r="T129" s="13">
        <v>6.3200000000000006E-2</v>
      </c>
      <c r="U129" s="14" t="s">
        <v>230</v>
      </c>
      <c r="V129" s="15">
        <v>0.99990000000000012</v>
      </c>
    </row>
    <row r="130" spans="2:22" ht="30" x14ac:dyDescent="0.25">
      <c r="B130" s="7">
        <v>2134</v>
      </c>
      <c r="C130" s="7" t="s">
        <v>78</v>
      </c>
      <c r="D130" s="8" t="s">
        <v>227</v>
      </c>
      <c r="E130" s="7"/>
      <c r="F130" s="7" t="s">
        <v>261</v>
      </c>
      <c r="G130" s="9" t="s">
        <v>229</v>
      </c>
      <c r="H130" s="10">
        <v>45037</v>
      </c>
      <c r="I130" s="11">
        <f>K130*L130</f>
        <v>724.96</v>
      </c>
      <c r="J130" s="11">
        <f>K130-I130</f>
        <v>63.039999999999964</v>
      </c>
      <c r="K130" s="11">
        <v>788</v>
      </c>
      <c r="L130" s="12">
        <v>0.92</v>
      </c>
      <c r="M130" s="11">
        <v>169.93053972835298</v>
      </c>
      <c r="N130" s="11">
        <v>288.64653173469748</v>
      </c>
      <c r="O130" s="24">
        <v>1.9338422391857506E-2</v>
      </c>
      <c r="P130" s="13">
        <v>0.13727735368956742</v>
      </c>
      <c r="Q130" s="13">
        <v>0.65954198473282433</v>
      </c>
      <c r="R130" s="13">
        <v>0.16157760814249364</v>
      </c>
      <c r="S130" s="13"/>
      <c r="T130" s="13">
        <v>2.2264631043256999E-2</v>
      </c>
      <c r="U130" s="14" t="s">
        <v>230</v>
      </c>
      <c r="V130" s="15">
        <f>SUM(O130:T130)</f>
        <v>1</v>
      </c>
    </row>
    <row r="131" spans="2:22" ht="30" x14ac:dyDescent="0.25">
      <c r="B131" s="7">
        <v>568</v>
      </c>
      <c r="C131" s="7" t="s">
        <v>78</v>
      </c>
      <c r="D131" s="8" t="s">
        <v>227</v>
      </c>
      <c r="E131" s="7"/>
      <c r="F131" s="7" t="s">
        <v>261</v>
      </c>
      <c r="G131" s="9" t="s">
        <v>229</v>
      </c>
      <c r="H131" s="10">
        <v>44187</v>
      </c>
      <c r="I131" s="11">
        <v>608.66399999999999</v>
      </c>
      <c r="J131" s="11">
        <v>115.93600000000004</v>
      </c>
      <c r="K131" s="11">
        <v>724.6</v>
      </c>
      <c r="L131" s="12">
        <v>0.84</v>
      </c>
      <c r="M131" s="11">
        <v>152.08000000000001</v>
      </c>
      <c r="N131" s="11">
        <v>153.63999999999999</v>
      </c>
      <c r="O131" s="13">
        <v>0.2407</v>
      </c>
      <c r="P131" s="13"/>
      <c r="Q131" s="13">
        <v>0.54430000000000001</v>
      </c>
      <c r="R131" s="13"/>
      <c r="S131" s="13">
        <v>0.16470000000000001</v>
      </c>
      <c r="T131" s="13">
        <v>5.0299999999999997E-2</v>
      </c>
      <c r="U131" s="14" t="s">
        <v>230</v>
      </c>
      <c r="V131" s="15">
        <v>1</v>
      </c>
    </row>
    <row r="132" spans="2:22" ht="30" x14ac:dyDescent="0.25">
      <c r="B132" s="7">
        <v>1981</v>
      </c>
      <c r="C132" s="7" t="s">
        <v>79</v>
      </c>
      <c r="D132" s="8" t="s">
        <v>227</v>
      </c>
      <c r="E132" s="7"/>
      <c r="F132" s="7" t="s">
        <v>244</v>
      </c>
      <c r="G132" s="9" t="s">
        <v>229</v>
      </c>
      <c r="H132" s="10">
        <v>44905</v>
      </c>
      <c r="I132" s="11">
        <f>K132*L132</f>
        <v>12262.590190000001</v>
      </c>
      <c r="J132" s="11">
        <f>K132-I132</f>
        <v>43.069809999999052</v>
      </c>
      <c r="K132" s="11">
        <v>12305.66</v>
      </c>
      <c r="L132" s="12">
        <v>0.99650000000000005</v>
      </c>
      <c r="M132" s="11">
        <v>116.95</v>
      </c>
      <c r="N132" s="11">
        <v>513.45000000000005</v>
      </c>
      <c r="O132" s="13">
        <v>3.0499999999999999E-2</v>
      </c>
      <c r="P132" s="13">
        <v>0.19320000000000001</v>
      </c>
      <c r="Q132" s="13">
        <v>0.41199999999999998</v>
      </c>
      <c r="R132" s="13">
        <v>0.21290000000000001</v>
      </c>
      <c r="S132" s="13"/>
      <c r="T132" s="13">
        <v>0.1515</v>
      </c>
      <c r="U132" s="14" t="s">
        <v>230</v>
      </c>
      <c r="V132" s="15">
        <f>SUM(O132:T132)</f>
        <v>1.0001</v>
      </c>
    </row>
    <row r="133" spans="2:22" ht="30" x14ac:dyDescent="0.25">
      <c r="B133" s="7">
        <v>361</v>
      </c>
      <c r="C133" s="7" t="s">
        <v>80</v>
      </c>
      <c r="D133" s="8" t="s">
        <v>227</v>
      </c>
      <c r="E133" s="7"/>
      <c r="F133" s="7" t="s">
        <v>238</v>
      </c>
      <c r="G133" s="9" t="s">
        <v>229</v>
      </c>
      <c r="H133" s="10">
        <v>44130</v>
      </c>
      <c r="I133" s="11">
        <v>2532.0651999999995</v>
      </c>
      <c r="J133" s="11">
        <v>51.674800000000232</v>
      </c>
      <c r="K133" s="11">
        <v>2583.7399999999998</v>
      </c>
      <c r="L133" s="12">
        <v>0.98</v>
      </c>
      <c r="M133" s="11">
        <v>403.03</v>
      </c>
      <c r="N133" s="11">
        <v>405.2</v>
      </c>
      <c r="O133" s="13">
        <v>0.68940000000000001</v>
      </c>
      <c r="P133" s="13"/>
      <c r="Q133" s="13">
        <v>0.25419999999999998</v>
      </c>
      <c r="R133" s="13"/>
      <c r="S133" s="13">
        <v>5.45E-2</v>
      </c>
      <c r="T133" s="13">
        <v>1.8E-3</v>
      </c>
      <c r="U133" s="14" t="s">
        <v>230</v>
      </c>
      <c r="V133" s="15">
        <v>0.99990000000000001</v>
      </c>
    </row>
    <row r="134" spans="2:22" ht="30" x14ac:dyDescent="0.25">
      <c r="B134" s="7">
        <v>285</v>
      </c>
      <c r="C134" s="7" t="s">
        <v>80</v>
      </c>
      <c r="D134" s="8" t="s">
        <v>227</v>
      </c>
      <c r="E134" s="7"/>
      <c r="F134" s="7" t="s">
        <v>238</v>
      </c>
      <c r="G134" s="9" t="s">
        <v>229</v>
      </c>
      <c r="H134" s="10">
        <v>44084</v>
      </c>
      <c r="I134" s="11">
        <v>2532.0651999999995</v>
      </c>
      <c r="J134" s="11">
        <v>51.674800000000232</v>
      </c>
      <c r="K134" s="11">
        <v>2583.7399999999998</v>
      </c>
      <c r="L134" s="12">
        <v>0.98</v>
      </c>
      <c r="M134" s="11">
        <v>322.42</v>
      </c>
      <c r="N134" s="11">
        <v>328.11</v>
      </c>
      <c r="O134" s="13">
        <v>0.85289999999999999</v>
      </c>
      <c r="P134" s="13"/>
      <c r="Q134" s="13">
        <v>0.115</v>
      </c>
      <c r="R134" s="13"/>
      <c r="S134" s="13">
        <v>1.2699999999999999E-2</v>
      </c>
      <c r="T134" s="13">
        <v>1.9400000000000001E-2</v>
      </c>
      <c r="U134" s="14" t="s">
        <v>230</v>
      </c>
      <c r="V134" s="15">
        <v>1</v>
      </c>
    </row>
    <row r="135" spans="2:22" ht="30" x14ac:dyDescent="0.25">
      <c r="B135" s="7">
        <v>254</v>
      </c>
      <c r="C135" s="7" t="s">
        <v>80</v>
      </c>
      <c r="D135" s="8" t="s">
        <v>227</v>
      </c>
      <c r="E135" s="7"/>
      <c r="F135" s="7" t="s">
        <v>238</v>
      </c>
      <c r="G135" s="9" t="s">
        <v>229</v>
      </c>
      <c r="H135" s="10">
        <v>44078</v>
      </c>
      <c r="I135" s="11">
        <v>2532.0651999999995</v>
      </c>
      <c r="J135" s="11">
        <v>51.674800000000232</v>
      </c>
      <c r="K135" s="11">
        <v>2583.7399999999998</v>
      </c>
      <c r="L135" s="12">
        <v>0.98</v>
      </c>
      <c r="M135" s="11">
        <v>155.96</v>
      </c>
      <c r="N135" s="11">
        <v>698.21</v>
      </c>
      <c r="O135" s="13">
        <v>0.7944</v>
      </c>
      <c r="P135" s="13"/>
      <c r="Q135" s="13">
        <v>0.15659999999999999</v>
      </c>
      <c r="R135" s="13"/>
      <c r="S135" s="13">
        <v>2.6499999999999999E-2</v>
      </c>
      <c r="T135" s="13">
        <v>2.2499999999999999E-2</v>
      </c>
      <c r="U135" s="14" t="s">
        <v>230</v>
      </c>
      <c r="V135" s="15">
        <v>0.99999999999999989</v>
      </c>
    </row>
    <row r="136" spans="2:22" ht="30" x14ac:dyDescent="0.25">
      <c r="B136" s="7">
        <v>1228</v>
      </c>
      <c r="C136" s="7" t="s">
        <v>80</v>
      </c>
      <c r="D136" s="8" t="s">
        <v>227</v>
      </c>
      <c r="E136" s="7"/>
      <c r="F136" s="7" t="s">
        <v>238</v>
      </c>
      <c r="G136" s="9" t="s">
        <v>229</v>
      </c>
      <c r="H136" s="10">
        <v>44431</v>
      </c>
      <c r="I136" s="11">
        <v>2532.0651999999995</v>
      </c>
      <c r="J136" s="11">
        <v>51.674800000000232</v>
      </c>
      <c r="K136" s="11">
        <v>2583.7399999999998</v>
      </c>
      <c r="L136" s="12">
        <v>0.98</v>
      </c>
      <c r="M136" s="11">
        <v>145.26</v>
      </c>
      <c r="N136" s="11">
        <v>193.97</v>
      </c>
      <c r="O136" s="13">
        <v>8.0399999999999999E-2</v>
      </c>
      <c r="P136" s="13">
        <v>0.505</v>
      </c>
      <c r="Q136" s="13">
        <v>0.29149999999999998</v>
      </c>
      <c r="R136" s="13">
        <v>8.6699999999999999E-2</v>
      </c>
      <c r="S136" s="13"/>
      <c r="T136" s="13">
        <v>3.6400000000000002E-2</v>
      </c>
      <c r="U136" s="14" t="s">
        <v>230</v>
      </c>
      <c r="V136" s="15">
        <v>1</v>
      </c>
    </row>
    <row r="137" spans="2:22" ht="30" x14ac:dyDescent="0.25">
      <c r="B137" s="7">
        <v>1859</v>
      </c>
      <c r="C137" s="7" t="s">
        <v>81</v>
      </c>
      <c r="D137" s="8" t="s">
        <v>227</v>
      </c>
      <c r="E137" s="7"/>
      <c r="F137" s="7" t="s">
        <v>267</v>
      </c>
      <c r="G137" s="9" t="s">
        <v>229</v>
      </c>
      <c r="H137" s="10">
        <v>44844</v>
      </c>
      <c r="I137" s="11">
        <f>K137*L137</f>
        <v>5249.97</v>
      </c>
      <c r="J137" s="11">
        <f>K137-I137</f>
        <v>53.029999999999745</v>
      </c>
      <c r="K137" s="11">
        <v>5303</v>
      </c>
      <c r="L137" s="12">
        <v>0.99</v>
      </c>
      <c r="M137" s="11">
        <v>233.15</v>
      </c>
      <c r="N137" s="11">
        <v>548.48</v>
      </c>
      <c r="O137" s="13">
        <v>1.15E-2</v>
      </c>
      <c r="P137" s="13">
        <v>0.15</v>
      </c>
      <c r="Q137" s="13">
        <v>0.59850000000000003</v>
      </c>
      <c r="R137" s="13">
        <v>0.218</v>
      </c>
      <c r="S137" s="13"/>
      <c r="T137" s="13">
        <v>2.1999999999999999E-2</v>
      </c>
      <c r="U137" s="14" t="s">
        <v>230</v>
      </c>
      <c r="V137" s="15">
        <f>SUM(O137:T137)</f>
        <v>1</v>
      </c>
    </row>
    <row r="138" spans="2:22" ht="30" x14ac:dyDescent="0.25">
      <c r="B138" s="7">
        <v>816</v>
      </c>
      <c r="C138" s="7" t="s">
        <v>82</v>
      </c>
      <c r="D138" s="8" t="s">
        <v>227</v>
      </c>
      <c r="E138" s="7"/>
      <c r="F138" s="7" t="s">
        <v>279</v>
      </c>
      <c r="G138" s="9" t="s">
        <v>229</v>
      </c>
      <c r="H138" s="10">
        <v>44245</v>
      </c>
      <c r="I138" s="11">
        <v>1563.3337799999999</v>
      </c>
      <c r="J138" s="11">
        <v>96.256219999999985</v>
      </c>
      <c r="K138" s="11">
        <v>1659.59</v>
      </c>
      <c r="L138" s="12">
        <v>0.94200000000000006</v>
      </c>
      <c r="M138" s="11">
        <v>97.27</v>
      </c>
      <c r="N138" s="11">
        <v>144.36699999999999</v>
      </c>
      <c r="O138" s="13">
        <v>9.3100000000000002E-2</v>
      </c>
      <c r="P138" s="13"/>
      <c r="Q138" s="13">
        <v>0.46860000000000002</v>
      </c>
      <c r="R138" s="13"/>
      <c r="S138" s="13">
        <v>0.30359999999999998</v>
      </c>
      <c r="T138" s="13">
        <v>0.13469999999999999</v>
      </c>
      <c r="U138" s="14" t="s">
        <v>230</v>
      </c>
      <c r="V138" s="15">
        <v>1</v>
      </c>
    </row>
    <row r="139" spans="2:22" ht="30" x14ac:dyDescent="0.25">
      <c r="B139" s="7">
        <v>891</v>
      </c>
      <c r="C139" s="7" t="s">
        <v>83</v>
      </c>
      <c r="D139" s="8" t="s">
        <v>227</v>
      </c>
      <c r="E139" s="7"/>
      <c r="F139" s="7" t="s">
        <v>257</v>
      </c>
      <c r="G139" s="9" t="s">
        <v>229</v>
      </c>
      <c r="H139" s="10">
        <v>44260</v>
      </c>
      <c r="I139" s="11">
        <v>170.85639999999998</v>
      </c>
      <c r="J139" s="11">
        <v>123.7236</v>
      </c>
      <c r="K139" s="11">
        <v>294.58</v>
      </c>
      <c r="L139" s="12">
        <v>0.57999999999999996</v>
      </c>
      <c r="M139" s="11">
        <v>83.79</v>
      </c>
      <c r="N139" s="11">
        <v>456.05</v>
      </c>
      <c r="O139" s="13">
        <v>0.34549999999999997</v>
      </c>
      <c r="P139" s="13"/>
      <c r="Q139" s="13">
        <v>0.36</v>
      </c>
      <c r="R139" s="13"/>
      <c r="S139" s="13">
        <v>0.13089999999999999</v>
      </c>
      <c r="T139" s="13">
        <v>0.1636</v>
      </c>
      <c r="U139" s="14" t="s">
        <v>230</v>
      </c>
      <c r="V139" s="15">
        <v>1</v>
      </c>
    </row>
    <row r="140" spans="2:22" ht="30" x14ac:dyDescent="0.25">
      <c r="B140" s="7">
        <v>1717</v>
      </c>
      <c r="C140" s="7" t="s">
        <v>84</v>
      </c>
      <c r="D140" s="8" t="s">
        <v>227</v>
      </c>
      <c r="E140" s="7"/>
      <c r="F140" s="7" t="s">
        <v>271</v>
      </c>
      <c r="G140" s="9" t="s">
        <v>229</v>
      </c>
      <c r="H140" s="10">
        <v>44781</v>
      </c>
      <c r="I140" s="11">
        <f>K140*L140</f>
        <v>25426.915724000002</v>
      </c>
      <c r="J140" s="11">
        <f>K140-I140</f>
        <v>145.76427599999806</v>
      </c>
      <c r="K140" s="11">
        <v>25572.68</v>
      </c>
      <c r="L140" s="12">
        <v>0.99430000000000007</v>
      </c>
      <c r="M140" s="11">
        <v>145.21</v>
      </c>
      <c r="N140" s="11">
        <v>201.78</v>
      </c>
      <c r="O140" s="13">
        <v>2.0299999999999999E-2</v>
      </c>
      <c r="P140" s="13">
        <v>0.15939999999999999</v>
      </c>
      <c r="Q140" s="13">
        <v>0.34949999999999998</v>
      </c>
      <c r="R140" s="13">
        <v>0.28389999999999999</v>
      </c>
      <c r="S140" s="13"/>
      <c r="T140" s="13">
        <v>0.18690000000000001</v>
      </c>
      <c r="U140" s="14" t="s">
        <v>230</v>
      </c>
      <c r="V140" s="15">
        <f>SUM(O140:T140)</f>
        <v>1</v>
      </c>
    </row>
    <row r="141" spans="2:22" x14ac:dyDescent="0.25">
      <c r="B141" s="7">
        <v>162</v>
      </c>
      <c r="C141" s="7" t="s">
        <v>85</v>
      </c>
      <c r="D141" s="8" t="s">
        <v>227</v>
      </c>
      <c r="E141" s="7"/>
      <c r="F141" s="7" t="s">
        <v>261</v>
      </c>
      <c r="G141" s="9" t="s">
        <v>229</v>
      </c>
      <c r="H141" s="10">
        <v>44057</v>
      </c>
      <c r="I141" s="11">
        <v>259</v>
      </c>
      <c r="J141" s="11">
        <v>111</v>
      </c>
      <c r="K141" s="11">
        <v>370</v>
      </c>
      <c r="L141" s="12">
        <v>0.7</v>
      </c>
      <c r="M141" s="11">
        <v>201.36</v>
      </c>
      <c r="N141" s="11">
        <v>204.78</v>
      </c>
      <c r="O141" s="13">
        <v>5.0470000000000001E-2</v>
      </c>
      <c r="P141" s="13"/>
      <c r="Q141" s="13">
        <v>0.84989999999999999</v>
      </c>
      <c r="R141" s="13"/>
      <c r="S141" s="13">
        <v>4.2599999999999999E-2</v>
      </c>
      <c r="T141" s="13">
        <v>5.7200000000000001E-2</v>
      </c>
      <c r="U141" s="14" t="s">
        <v>230</v>
      </c>
      <c r="V141" s="15">
        <v>1.00017</v>
      </c>
    </row>
    <row r="142" spans="2:22" x14ac:dyDescent="0.25">
      <c r="B142" s="7">
        <v>817</v>
      </c>
      <c r="C142" s="7" t="s">
        <v>85</v>
      </c>
      <c r="D142" s="8" t="s">
        <v>227</v>
      </c>
      <c r="E142" s="7"/>
      <c r="F142" s="7" t="s">
        <v>261</v>
      </c>
      <c r="G142" s="9" t="s">
        <v>229</v>
      </c>
      <c r="H142" s="10">
        <v>44245</v>
      </c>
      <c r="I142" s="11">
        <v>259</v>
      </c>
      <c r="J142" s="11">
        <v>111</v>
      </c>
      <c r="K142" s="11">
        <v>370</v>
      </c>
      <c r="L142" s="12">
        <v>0.7</v>
      </c>
      <c r="M142" s="11">
        <v>106.56</v>
      </c>
      <c r="N142" s="11">
        <v>154.9</v>
      </c>
      <c r="O142" s="13">
        <v>4.3400000000000001E-2</v>
      </c>
      <c r="P142" s="13"/>
      <c r="Q142" s="13">
        <v>0.72909999999999997</v>
      </c>
      <c r="R142" s="13"/>
      <c r="S142" s="13">
        <v>0.18099999999999999</v>
      </c>
      <c r="T142" s="13">
        <v>4.65E-2</v>
      </c>
      <c r="U142" s="14" t="s">
        <v>230</v>
      </c>
      <c r="V142" s="15">
        <v>1</v>
      </c>
    </row>
    <row r="143" spans="2:22" x14ac:dyDescent="0.25">
      <c r="B143" s="7">
        <v>1652</v>
      </c>
      <c r="C143" s="7" t="s">
        <v>86</v>
      </c>
      <c r="D143" s="8" t="s">
        <v>227</v>
      </c>
      <c r="E143" s="7"/>
      <c r="F143" s="7" t="s">
        <v>248</v>
      </c>
      <c r="G143" s="9" t="s">
        <v>229</v>
      </c>
      <c r="H143" s="10">
        <v>44751</v>
      </c>
      <c r="I143" s="16">
        <f>K143*L143</f>
        <v>12653.103060000001</v>
      </c>
      <c r="J143" s="16">
        <f>K143-I143</f>
        <v>69.976939999998649</v>
      </c>
      <c r="K143" s="11">
        <v>12723.08</v>
      </c>
      <c r="L143" s="12">
        <v>0.99450000000000005</v>
      </c>
      <c r="M143" s="11">
        <v>94.35</v>
      </c>
      <c r="N143" s="11">
        <v>942.05</v>
      </c>
      <c r="O143" s="17">
        <v>2.06E-2</v>
      </c>
      <c r="P143" s="17">
        <v>0.13639999999999999</v>
      </c>
      <c r="Q143" s="17">
        <v>0.45419999999999999</v>
      </c>
      <c r="R143" s="17">
        <v>0.34720000000000001</v>
      </c>
      <c r="S143" s="17"/>
      <c r="T143" s="17">
        <v>4.1500000000000002E-2</v>
      </c>
      <c r="U143" s="7" t="s">
        <v>230</v>
      </c>
      <c r="V143" s="15">
        <f>SUM(O143:T143)</f>
        <v>0.9998999999999999</v>
      </c>
    </row>
    <row r="144" spans="2:22" ht="30" x14ac:dyDescent="0.25">
      <c r="B144" s="7">
        <v>1601</v>
      </c>
      <c r="C144" s="7" t="s">
        <v>87</v>
      </c>
      <c r="D144" s="8" t="s">
        <v>227</v>
      </c>
      <c r="E144" s="7"/>
      <c r="F144" s="7" t="s">
        <v>237</v>
      </c>
      <c r="G144" s="9" t="s">
        <v>229</v>
      </c>
      <c r="H144" s="10">
        <v>44725</v>
      </c>
      <c r="I144" s="11">
        <f>K144*L144</f>
        <v>2942.87</v>
      </c>
      <c r="J144" s="11">
        <f>K144-I144</f>
        <v>32.130000000000109</v>
      </c>
      <c r="K144" s="11">
        <v>2975</v>
      </c>
      <c r="L144" s="12">
        <v>0.98919999999999997</v>
      </c>
      <c r="M144" s="11">
        <v>127.87</v>
      </c>
      <c r="N144" s="11">
        <v>357.9</v>
      </c>
      <c r="O144" s="13">
        <v>5.5399999999999998E-2</v>
      </c>
      <c r="P144" s="13">
        <v>0.1183</v>
      </c>
      <c r="Q144" s="13">
        <v>0.3891</v>
      </c>
      <c r="R144" s="13">
        <v>0.41260000000000002</v>
      </c>
      <c r="S144" s="13"/>
      <c r="T144" s="13">
        <v>2.4500000000000001E-2</v>
      </c>
      <c r="U144" s="14" t="s">
        <v>230</v>
      </c>
      <c r="V144" s="15">
        <f>SUM(O144:T144)</f>
        <v>0.99990000000000001</v>
      </c>
    </row>
    <row r="145" spans="2:22" ht="30" x14ac:dyDescent="0.25">
      <c r="B145" s="7">
        <v>1131</v>
      </c>
      <c r="C145" s="7" t="s">
        <v>88</v>
      </c>
      <c r="D145" s="8" t="s">
        <v>227</v>
      </c>
      <c r="E145" s="7"/>
      <c r="F145" s="7" t="s">
        <v>289</v>
      </c>
      <c r="G145" s="9" t="s">
        <v>229</v>
      </c>
      <c r="H145" s="10">
        <v>44369</v>
      </c>
      <c r="I145" s="11">
        <v>477.91840000000002</v>
      </c>
      <c r="J145" s="11">
        <v>150.92160000000001</v>
      </c>
      <c r="K145" s="11">
        <v>628.84</v>
      </c>
      <c r="L145" s="12">
        <v>0.76</v>
      </c>
      <c r="M145" s="11">
        <v>87.58</v>
      </c>
      <c r="N145" s="11">
        <v>151.13</v>
      </c>
      <c r="O145" s="13">
        <v>2.24E-2</v>
      </c>
      <c r="P145" s="13">
        <v>7.1099999999999997E-2</v>
      </c>
      <c r="Q145" s="13">
        <v>0.35980000000000001</v>
      </c>
      <c r="R145" s="13">
        <v>0.41460000000000002</v>
      </c>
      <c r="S145" s="13"/>
      <c r="T145" s="13">
        <v>0.1321</v>
      </c>
      <c r="U145" s="14" t="s">
        <v>230</v>
      </c>
      <c r="V145" s="15">
        <v>1</v>
      </c>
    </row>
    <row r="146" spans="2:22" ht="30" x14ac:dyDescent="0.25">
      <c r="B146" s="7">
        <v>1909</v>
      </c>
      <c r="C146" s="7" t="s">
        <v>89</v>
      </c>
      <c r="D146" s="8" t="s">
        <v>227</v>
      </c>
      <c r="E146" s="7"/>
      <c r="F146" s="7" t="s">
        <v>244</v>
      </c>
      <c r="G146" s="9" t="s">
        <v>229</v>
      </c>
      <c r="H146" s="10">
        <v>44867</v>
      </c>
      <c r="I146" s="11">
        <f>K146*L146</f>
        <v>1022.9</v>
      </c>
      <c r="J146" s="11">
        <f>K146-I146</f>
        <v>37.100000000000023</v>
      </c>
      <c r="K146" s="11">
        <v>1060</v>
      </c>
      <c r="L146" s="12">
        <v>0.96499999999999997</v>
      </c>
      <c r="M146" s="11">
        <v>537.79</v>
      </c>
      <c r="N146" s="11">
        <v>1446.12</v>
      </c>
      <c r="O146" s="13">
        <v>1.9800000000000002E-2</v>
      </c>
      <c r="P146" s="13">
        <v>0.37709999999999999</v>
      </c>
      <c r="Q146" s="13">
        <v>0.57740000000000002</v>
      </c>
      <c r="R146" s="13">
        <v>1.9599999999999999E-2</v>
      </c>
      <c r="S146" s="13"/>
      <c r="T146" s="13">
        <v>6.1999999999999998E-3</v>
      </c>
      <c r="U146" s="14" t="s">
        <v>230</v>
      </c>
      <c r="V146" s="15">
        <f>SUM(O146:T146)</f>
        <v>1.0001</v>
      </c>
    </row>
    <row r="147" spans="2:22" ht="30" x14ac:dyDescent="0.25">
      <c r="B147" s="7">
        <v>1912</v>
      </c>
      <c r="C147" s="7" t="s">
        <v>89</v>
      </c>
      <c r="D147" s="8" t="s">
        <v>227</v>
      </c>
      <c r="E147" s="7"/>
      <c r="F147" s="7" t="s">
        <v>244</v>
      </c>
      <c r="G147" s="9" t="s">
        <v>229</v>
      </c>
      <c r="H147" s="10">
        <v>44868</v>
      </c>
      <c r="I147" s="11">
        <f>K147*L147</f>
        <v>1022.9</v>
      </c>
      <c r="J147" s="11">
        <f>K147-I147</f>
        <v>37.100000000000023</v>
      </c>
      <c r="K147" s="11">
        <v>1060</v>
      </c>
      <c r="L147" s="12">
        <v>0.96499999999999997</v>
      </c>
      <c r="M147" s="11">
        <v>425.14</v>
      </c>
      <c r="N147" s="11">
        <v>1090.43</v>
      </c>
      <c r="O147" s="13">
        <v>2.2599999999999999E-2</v>
      </c>
      <c r="P147" s="13">
        <v>0.43269999999999997</v>
      </c>
      <c r="Q147" s="13">
        <v>0.50139999999999996</v>
      </c>
      <c r="R147" s="13">
        <v>3.1800000000000002E-2</v>
      </c>
      <c r="S147" s="13"/>
      <c r="T147" s="13">
        <v>1.1599999999999999E-2</v>
      </c>
      <c r="U147" s="14" t="s">
        <v>230</v>
      </c>
      <c r="V147" s="15">
        <f>SUM(O147:T147)</f>
        <v>1.0001</v>
      </c>
    </row>
    <row r="148" spans="2:22" ht="30" x14ac:dyDescent="0.25">
      <c r="B148" s="7">
        <v>830</v>
      </c>
      <c r="C148" s="7" t="s">
        <v>90</v>
      </c>
      <c r="D148" s="8" t="s">
        <v>254</v>
      </c>
      <c r="E148" s="7"/>
      <c r="F148" s="7" t="s">
        <v>267</v>
      </c>
      <c r="G148" s="9" t="s">
        <v>229</v>
      </c>
      <c r="H148" s="10">
        <v>44250</v>
      </c>
      <c r="I148" s="11">
        <v>44</v>
      </c>
      <c r="J148" s="11">
        <v>11</v>
      </c>
      <c r="K148" s="11">
        <v>55</v>
      </c>
      <c r="L148" s="12">
        <v>0.8</v>
      </c>
      <c r="M148" s="11">
        <v>127.36</v>
      </c>
      <c r="N148" s="11">
        <v>509.75</v>
      </c>
      <c r="O148" s="13">
        <v>6.1100000000000002E-2</v>
      </c>
      <c r="P148" s="13"/>
      <c r="Q148" s="13">
        <v>0.83789999999999998</v>
      </c>
      <c r="R148" s="13"/>
      <c r="S148" s="13">
        <v>8.9099999999999999E-2</v>
      </c>
      <c r="T148" s="13">
        <v>1.2E-2</v>
      </c>
      <c r="U148" s="14" t="s">
        <v>230</v>
      </c>
      <c r="V148" s="15">
        <v>1.0001</v>
      </c>
    </row>
    <row r="149" spans="2:22" ht="30" x14ac:dyDescent="0.25">
      <c r="B149" s="7">
        <v>861</v>
      </c>
      <c r="C149" s="7" t="s">
        <v>91</v>
      </c>
      <c r="D149" s="8" t="s">
        <v>227</v>
      </c>
      <c r="E149" s="7"/>
      <c r="F149" s="7" t="s">
        <v>239</v>
      </c>
      <c r="G149" s="9" t="s">
        <v>229</v>
      </c>
      <c r="H149" s="10">
        <v>44253</v>
      </c>
      <c r="I149" s="11">
        <v>14959.833747999999</v>
      </c>
      <c r="J149" s="11">
        <v>76.686252000001332</v>
      </c>
      <c r="K149" s="11">
        <v>15036.52</v>
      </c>
      <c r="L149" s="12">
        <v>0.9948999999999999</v>
      </c>
      <c r="M149" s="11">
        <v>674.73</v>
      </c>
      <c r="N149" s="11">
        <v>24017.9</v>
      </c>
      <c r="O149" s="13">
        <v>4.8899999999999999E-2</v>
      </c>
      <c r="P149" s="13"/>
      <c r="Q149" s="13">
        <v>0.29239999999999999</v>
      </c>
      <c r="R149" s="13"/>
      <c r="S149" s="13">
        <v>0.4027</v>
      </c>
      <c r="T149" s="13">
        <v>0.25600000000000001</v>
      </c>
      <c r="U149" s="14" t="s">
        <v>247</v>
      </c>
      <c r="V149" s="15">
        <v>1</v>
      </c>
    </row>
    <row r="150" spans="2:22" ht="30" x14ac:dyDescent="0.25">
      <c r="B150" s="7">
        <v>1357</v>
      </c>
      <c r="C150" s="7" t="s">
        <v>92</v>
      </c>
      <c r="D150" s="8" t="s">
        <v>227</v>
      </c>
      <c r="E150" s="7"/>
      <c r="F150" s="7" t="s">
        <v>262</v>
      </c>
      <c r="G150" s="9" t="s">
        <v>229</v>
      </c>
      <c r="H150" s="10">
        <v>44531</v>
      </c>
      <c r="I150" s="11">
        <f>K150*L150</f>
        <v>19662.982759999999</v>
      </c>
      <c r="J150" s="11">
        <f>K150-I150</f>
        <v>136.61723999999958</v>
      </c>
      <c r="K150" s="11">
        <v>19799.599999999999</v>
      </c>
      <c r="L150" s="12">
        <v>0.99309999999999998</v>
      </c>
      <c r="M150" s="11">
        <v>533.15</v>
      </c>
      <c r="N150" s="11">
        <v>1536.97</v>
      </c>
      <c r="O150" s="13">
        <v>2.41E-2</v>
      </c>
      <c r="P150" s="13">
        <v>0.21410000000000001</v>
      </c>
      <c r="Q150" s="13">
        <v>0.54659999999999997</v>
      </c>
      <c r="R150" s="13">
        <v>9.4399999999999998E-2</v>
      </c>
      <c r="S150" s="13"/>
      <c r="T150" s="13">
        <v>0.1208</v>
      </c>
      <c r="U150" s="14" t="s">
        <v>230</v>
      </c>
      <c r="V150" s="15">
        <f>SUM(O150:T150)</f>
        <v>1</v>
      </c>
    </row>
    <row r="151" spans="2:22" ht="30" x14ac:dyDescent="0.25">
      <c r="B151" s="7">
        <v>1036</v>
      </c>
      <c r="C151" s="7" t="s">
        <v>93</v>
      </c>
      <c r="D151" s="8" t="s">
        <v>227</v>
      </c>
      <c r="E151" s="7"/>
      <c r="F151" s="7" t="s">
        <v>265</v>
      </c>
      <c r="G151" s="9" t="s">
        <v>229</v>
      </c>
      <c r="H151" s="10">
        <v>44308</v>
      </c>
      <c r="I151" s="11">
        <v>3980.0840800000001</v>
      </c>
      <c r="J151" s="11">
        <v>33.715920000000096</v>
      </c>
      <c r="K151" s="11">
        <v>4013.8</v>
      </c>
      <c r="L151" s="12">
        <v>0.99159999999999993</v>
      </c>
      <c r="M151" s="11">
        <v>420.03</v>
      </c>
      <c r="N151" s="11">
        <v>1175.4000000000001</v>
      </c>
      <c r="O151" s="13">
        <v>2.7900000000000001E-2</v>
      </c>
      <c r="P151" s="13">
        <v>5.9700000000000003E-2</v>
      </c>
      <c r="Q151" s="13">
        <v>0.2389</v>
      </c>
      <c r="R151" s="13">
        <v>0.44219999999999998</v>
      </c>
      <c r="S151" s="13"/>
      <c r="T151" s="13">
        <v>0.23119999999999999</v>
      </c>
      <c r="U151" s="14" t="s">
        <v>247</v>
      </c>
      <c r="V151" s="15">
        <v>0.9998999999999999</v>
      </c>
    </row>
    <row r="152" spans="2:22" ht="30" x14ac:dyDescent="0.25">
      <c r="B152" s="7">
        <v>880</v>
      </c>
      <c r="C152" s="7" t="s">
        <v>94</v>
      </c>
      <c r="D152" s="8" t="s">
        <v>227</v>
      </c>
      <c r="E152" s="7"/>
      <c r="F152" s="7" t="s">
        <v>277</v>
      </c>
      <c r="G152" s="9" t="s">
        <v>229</v>
      </c>
      <c r="H152" s="10">
        <v>44258</v>
      </c>
      <c r="I152" s="11">
        <v>10429.65</v>
      </c>
      <c r="J152" s="11">
        <v>70.350000000000364</v>
      </c>
      <c r="K152" s="11">
        <v>10500</v>
      </c>
      <c r="L152" s="12">
        <v>0.99329999999999996</v>
      </c>
      <c r="M152" s="11">
        <v>224.23</v>
      </c>
      <c r="N152" s="11">
        <v>931.57</v>
      </c>
      <c r="O152" s="13">
        <v>4.4699999999999997E-2</v>
      </c>
      <c r="P152" s="13"/>
      <c r="Q152" s="13">
        <v>0.37740000000000001</v>
      </c>
      <c r="R152" s="13"/>
      <c r="S152" s="13">
        <v>0.24030000000000001</v>
      </c>
      <c r="T152" s="13">
        <v>0.3377</v>
      </c>
      <c r="U152" s="14" t="s">
        <v>230</v>
      </c>
      <c r="V152" s="15">
        <v>1.0001000000000002</v>
      </c>
    </row>
    <row r="153" spans="2:22" ht="30" x14ac:dyDescent="0.25">
      <c r="B153" s="7">
        <v>2176</v>
      </c>
      <c r="C153" s="7" t="s">
        <v>95</v>
      </c>
      <c r="D153" s="8" t="s">
        <v>227</v>
      </c>
      <c r="E153" s="7"/>
      <c r="F153" s="7" t="s">
        <v>244</v>
      </c>
      <c r="G153" s="9" t="s">
        <v>229</v>
      </c>
      <c r="H153" s="10">
        <v>45056</v>
      </c>
      <c r="I153" s="11">
        <f>K153*L153</f>
        <v>824.14109999999994</v>
      </c>
      <c r="J153" s="11">
        <f>K153-I153</f>
        <v>25.488900000000058</v>
      </c>
      <c r="K153" s="11">
        <v>849.63</v>
      </c>
      <c r="L153" s="12">
        <v>0.97</v>
      </c>
      <c r="M153" s="11">
        <v>107.11905677627858</v>
      </c>
      <c r="N153" s="11">
        <v>209.94214765111744</v>
      </c>
      <c r="O153" s="13">
        <v>3.1709203402938903E-2</v>
      </c>
      <c r="P153" s="13">
        <v>0.28662026295436971</v>
      </c>
      <c r="Q153" s="13">
        <v>0.47996906419180208</v>
      </c>
      <c r="R153" s="13">
        <v>0.1712296983758701</v>
      </c>
      <c r="S153" s="13"/>
      <c r="T153" s="13">
        <v>3.0471771075019336E-2</v>
      </c>
      <c r="U153" s="14" t="s">
        <v>230</v>
      </c>
      <c r="V153" s="15">
        <f>SUM(O153:T153)</f>
        <v>1.0000000000000002</v>
      </c>
    </row>
    <row r="154" spans="2:22" x14ac:dyDescent="0.25">
      <c r="B154" s="7">
        <v>607</v>
      </c>
      <c r="C154" s="7" t="s">
        <v>96</v>
      </c>
      <c r="D154" s="8" t="s">
        <v>227</v>
      </c>
      <c r="E154" s="7"/>
      <c r="F154" s="7" t="s">
        <v>243</v>
      </c>
      <c r="G154" s="9" t="s">
        <v>229</v>
      </c>
      <c r="H154" s="10">
        <v>44196</v>
      </c>
      <c r="I154" s="11">
        <v>955.5</v>
      </c>
      <c r="J154" s="11">
        <v>94.5</v>
      </c>
      <c r="K154" s="11">
        <v>1050</v>
      </c>
      <c r="L154" s="12">
        <v>0.91</v>
      </c>
      <c r="M154" s="11">
        <v>117.99</v>
      </c>
      <c r="N154" s="11">
        <v>124.54</v>
      </c>
      <c r="O154" s="13">
        <v>0.1024</v>
      </c>
      <c r="P154" s="13"/>
      <c r="Q154" s="13">
        <v>0.34410000000000002</v>
      </c>
      <c r="R154" s="13"/>
      <c r="S154" s="13">
        <v>0.26500000000000001</v>
      </c>
      <c r="T154" s="13">
        <v>0.28849999999999998</v>
      </c>
      <c r="U154" s="14" t="s">
        <v>230</v>
      </c>
      <c r="V154" s="15">
        <v>1</v>
      </c>
    </row>
    <row r="155" spans="2:22" x14ac:dyDescent="0.25">
      <c r="B155" s="7">
        <v>2065</v>
      </c>
      <c r="C155" s="7" t="s">
        <v>97</v>
      </c>
      <c r="D155" s="8" t="s">
        <v>227</v>
      </c>
      <c r="E155" s="7"/>
      <c r="F155" s="7" t="s">
        <v>296</v>
      </c>
      <c r="G155" s="9" t="s">
        <v>229</v>
      </c>
      <c r="H155" s="10">
        <v>44943</v>
      </c>
      <c r="I155" s="11">
        <f>K155*L155</f>
        <v>0</v>
      </c>
      <c r="J155" s="11">
        <f>K155-I155</f>
        <v>0</v>
      </c>
      <c r="K155" s="11">
        <f>IFERROR(IF([1]!Tabla1[[#This Row],[POZO]]="",K154,VLOOKUP(C155,[2]Sheet1!$B$3:$E$1048576,2,FALSE)),0)</f>
        <v>0</v>
      </c>
      <c r="L155" s="12">
        <v>0.99550000000000005</v>
      </c>
      <c r="M155" s="11">
        <v>87.215506859108189</v>
      </c>
      <c r="N155" s="11">
        <v>130.80655528161694</v>
      </c>
      <c r="O155" s="13">
        <v>2.4027459954233412E-2</v>
      </c>
      <c r="P155" s="13">
        <v>0.43020594965675057</v>
      </c>
      <c r="Q155" s="13">
        <v>8.5049580472921438E-2</v>
      </c>
      <c r="R155" s="13">
        <v>0.18115942028985507</v>
      </c>
      <c r="S155" s="13"/>
      <c r="T155" s="13">
        <v>0.27955758962623956</v>
      </c>
      <c r="U155" s="14" t="s">
        <v>230</v>
      </c>
      <c r="V155" s="15">
        <f>SUM(O155:T155)</f>
        <v>1</v>
      </c>
    </row>
    <row r="156" spans="2:22" ht="30" x14ac:dyDescent="0.25">
      <c r="B156" s="7">
        <v>1571</v>
      </c>
      <c r="C156" s="7" t="s">
        <v>98</v>
      </c>
      <c r="D156" s="8" t="s">
        <v>227</v>
      </c>
      <c r="E156" s="7"/>
      <c r="F156" s="7" t="s">
        <v>231</v>
      </c>
      <c r="G156" s="9" t="s">
        <v>229</v>
      </c>
      <c r="H156" s="10">
        <v>44708</v>
      </c>
      <c r="I156" s="11">
        <f>K156*L156</f>
        <v>14962.479883</v>
      </c>
      <c r="J156" s="11">
        <f>K156-I156</f>
        <v>161.83011699999952</v>
      </c>
      <c r="K156" s="11">
        <v>15124.31</v>
      </c>
      <c r="L156" s="12">
        <v>0.98930000000000007</v>
      </c>
      <c r="M156" s="11">
        <v>3077.16</v>
      </c>
      <c r="N156" s="11">
        <v>18846.099999999999</v>
      </c>
      <c r="O156" s="13">
        <v>1.67E-2</v>
      </c>
      <c r="P156" s="13">
        <v>0.1158</v>
      </c>
      <c r="Q156" s="13">
        <v>0.2999</v>
      </c>
      <c r="R156" s="13">
        <v>0.27410000000000001</v>
      </c>
      <c r="S156" s="13"/>
      <c r="T156" s="13">
        <v>0.29339999999999999</v>
      </c>
      <c r="U156" s="14" t="s">
        <v>230</v>
      </c>
      <c r="V156" s="15">
        <f>SUM(O156:T156)</f>
        <v>0.99990000000000001</v>
      </c>
    </row>
    <row r="157" spans="2:22" ht="30" x14ac:dyDescent="0.25">
      <c r="B157" s="7">
        <v>305</v>
      </c>
      <c r="C157" s="7" t="s">
        <v>98</v>
      </c>
      <c r="D157" s="8" t="s">
        <v>227</v>
      </c>
      <c r="E157" s="7"/>
      <c r="F157" s="7" t="s">
        <v>231</v>
      </c>
      <c r="G157" s="9" t="s">
        <v>229</v>
      </c>
      <c r="H157" s="10">
        <v>44091</v>
      </c>
      <c r="I157" s="11">
        <v>9511.014924000001</v>
      </c>
      <c r="J157" s="11">
        <v>87.345075999999608</v>
      </c>
      <c r="K157" s="11">
        <v>9598.36</v>
      </c>
      <c r="L157" s="12">
        <v>0.9909</v>
      </c>
      <c r="M157" s="11">
        <v>452.05</v>
      </c>
      <c r="N157" s="11">
        <v>455.27</v>
      </c>
      <c r="O157" s="13">
        <v>0.1976</v>
      </c>
      <c r="P157" s="13"/>
      <c r="Q157" s="13">
        <v>0.69630000000000003</v>
      </c>
      <c r="R157" s="13"/>
      <c r="S157" s="13">
        <v>9.2600000000000002E-2</v>
      </c>
      <c r="T157" s="13">
        <v>1.35E-2</v>
      </c>
      <c r="U157" s="14" t="s">
        <v>247</v>
      </c>
      <c r="V157" s="15">
        <v>1</v>
      </c>
    </row>
    <row r="158" spans="2:22" ht="30" x14ac:dyDescent="0.25">
      <c r="B158" s="7">
        <v>823</v>
      </c>
      <c r="C158" s="7" t="s">
        <v>99</v>
      </c>
      <c r="D158" s="8" t="s">
        <v>227</v>
      </c>
      <c r="E158" s="7"/>
      <c r="F158" s="7" t="s">
        <v>261</v>
      </c>
      <c r="G158" s="9" t="s">
        <v>229</v>
      </c>
      <c r="H158" s="10">
        <v>44246</v>
      </c>
      <c r="I158" s="11">
        <v>705.91499999999996</v>
      </c>
      <c r="J158" s="11">
        <v>144.58500000000004</v>
      </c>
      <c r="K158" s="11">
        <v>850.5</v>
      </c>
      <c r="L158" s="12">
        <v>0.83</v>
      </c>
      <c r="M158" s="11">
        <v>538.65</v>
      </c>
      <c r="N158" s="11">
        <v>789.71</v>
      </c>
      <c r="O158" s="13">
        <v>0.67510000000000003</v>
      </c>
      <c r="P158" s="13"/>
      <c r="Q158" s="13">
        <v>9.7000000000000003E-2</v>
      </c>
      <c r="R158" s="13"/>
      <c r="S158" s="13">
        <v>0.11899999999999999</v>
      </c>
      <c r="T158" s="13">
        <v>0.1089</v>
      </c>
      <c r="U158" s="14" t="s">
        <v>247</v>
      </c>
      <c r="V158" s="15">
        <v>1</v>
      </c>
    </row>
    <row r="159" spans="2:22" ht="30" x14ac:dyDescent="0.25">
      <c r="B159" s="7">
        <v>2058</v>
      </c>
      <c r="C159" s="7" t="s">
        <v>100</v>
      </c>
      <c r="D159" s="8" t="s">
        <v>227</v>
      </c>
      <c r="E159" s="7"/>
      <c r="F159" s="7" t="s">
        <v>246</v>
      </c>
      <c r="G159" s="9" t="s">
        <v>229</v>
      </c>
      <c r="H159" s="10">
        <v>44942</v>
      </c>
      <c r="I159" s="11">
        <f>K159*L159</f>
        <v>0</v>
      </c>
      <c r="J159" s="11">
        <f>K159-I159</f>
        <v>0</v>
      </c>
      <c r="K159" s="11">
        <f>IFERROR(IF([1]!Tabla1[[#This Row],[POZO]]="",K158,VLOOKUP(C159,[2]Sheet1!$B$3:$E$1048576,2,FALSE)),0)</f>
        <v>0</v>
      </c>
      <c r="L159" s="12">
        <v>0.99729999999999996</v>
      </c>
      <c r="M159" s="11">
        <v>271.83102956798967</v>
      </c>
      <c r="N159" s="11">
        <v>478.7542129972822</v>
      </c>
      <c r="O159" s="13">
        <v>1.8065351950482225E-2</v>
      </c>
      <c r="P159" s="13">
        <v>0.12293076147977545</v>
      </c>
      <c r="Q159" s="13">
        <v>0.40837771700014397</v>
      </c>
      <c r="R159" s="13">
        <v>0.22498920397293795</v>
      </c>
      <c r="S159" s="13"/>
      <c r="T159" s="13">
        <v>0.22563696559666044</v>
      </c>
      <c r="U159" s="14" t="s">
        <v>230</v>
      </c>
      <c r="V159" s="15">
        <f>SUM(O159:T159)</f>
        <v>1</v>
      </c>
    </row>
    <row r="160" spans="2:22" ht="30" x14ac:dyDescent="0.25">
      <c r="B160" s="7">
        <v>2084</v>
      </c>
      <c r="C160" s="7" t="s">
        <v>100</v>
      </c>
      <c r="D160" s="8" t="s">
        <v>227</v>
      </c>
      <c r="E160" s="7"/>
      <c r="F160" s="7" t="s">
        <v>246</v>
      </c>
      <c r="G160" s="9" t="s">
        <v>229</v>
      </c>
      <c r="H160" s="10">
        <v>44949</v>
      </c>
      <c r="I160" s="11">
        <f>K160*L160</f>
        <v>0</v>
      </c>
      <c r="J160" s="11">
        <f>K160-I160</f>
        <v>0</v>
      </c>
      <c r="K160" s="11">
        <f>IFERROR(IF([1]!Tabla1[[#This Row],[POZO]]="",K147,VLOOKUP(C160,[2]Sheet1!$B$3:$E$1048576,2,FALSE)),0)</f>
        <v>0</v>
      </c>
      <c r="L160" s="12">
        <v>0.997</v>
      </c>
      <c r="M160" s="11">
        <v>97.438745097528297</v>
      </c>
      <c r="N160" s="11">
        <v>196.76427731815647</v>
      </c>
      <c r="O160" s="13">
        <v>2.1965464702894871E-2</v>
      </c>
      <c r="P160" s="13">
        <v>9.5860843067546983E-2</v>
      </c>
      <c r="Q160" s="13">
        <v>0.35741493143727776</v>
      </c>
      <c r="R160" s="13">
        <v>0.29050279329608941</v>
      </c>
      <c r="S160" s="13"/>
      <c r="T160" s="13">
        <v>0.23425596749619096</v>
      </c>
      <c r="U160" s="14" t="s">
        <v>230</v>
      </c>
      <c r="V160" s="15">
        <f>SUM(O160:T160)</f>
        <v>0.99999999999999989</v>
      </c>
    </row>
    <row r="161" spans="2:22" ht="30" x14ac:dyDescent="0.25">
      <c r="B161" s="7">
        <v>1806</v>
      </c>
      <c r="C161" s="7" t="s">
        <v>101</v>
      </c>
      <c r="D161" s="8" t="s">
        <v>227</v>
      </c>
      <c r="E161" s="7"/>
      <c r="F161" s="7" t="s">
        <v>234</v>
      </c>
      <c r="G161" s="9" t="s">
        <v>229</v>
      </c>
      <c r="H161" s="10">
        <v>44824</v>
      </c>
      <c r="I161" s="11">
        <f>K161*L161</f>
        <v>4697.7500000000009</v>
      </c>
      <c r="J161" s="11">
        <f>K161-I161</f>
        <v>52.249999999999091</v>
      </c>
      <c r="K161" s="11">
        <v>4750</v>
      </c>
      <c r="L161" s="12">
        <v>0.9890000000000001</v>
      </c>
      <c r="M161" s="11">
        <v>193.1</v>
      </c>
      <c r="N161" s="11">
        <v>492.71</v>
      </c>
      <c r="O161" s="13">
        <v>2.7900000000000001E-2</v>
      </c>
      <c r="P161" s="13">
        <v>0.2213</v>
      </c>
      <c r="Q161" s="13">
        <v>0.56200000000000006</v>
      </c>
      <c r="R161" s="13">
        <v>0.14019999999999999</v>
      </c>
      <c r="S161" s="13"/>
      <c r="T161" s="13">
        <v>4.8599999999999997E-2</v>
      </c>
      <c r="U161" s="14" t="s">
        <v>230</v>
      </c>
      <c r="V161" s="15">
        <f>SUM(O161:T161)</f>
        <v>1</v>
      </c>
    </row>
    <row r="162" spans="2:22" ht="30" x14ac:dyDescent="0.25">
      <c r="B162" s="7">
        <v>1360</v>
      </c>
      <c r="C162" s="7" t="s">
        <v>102</v>
      </c>
      <c r="D162" s="8" t="s">
        <v>227</v>
      </c>
      <c r="E162" s="7"/>
      <c r="F162" s="7" t="s">
        <v>301</v>
      </c>
      <c r="G162" s="9" t="s">
        <v>229</v>
      </c>
      <c r="H162" s="10">
        <v>44532</v>
      </c>
      <c r="I162" s="11">
        <f>K162*L162</f>
        <v>4747.2197800000013</v>
      </c>
      <c r="J162" s="11">
        <f>K162-I162</f>
        <v>52.800219999999172</v>
      </c>
      <c r="K162" s="11">
        <v>4800.0200000000004</v>
      </c>
      <c r="L162" s="12">
        <v>0.9890000000000001</v>
      </c>
      <c r="M162" s="11">
        <v>110.03</v>
      </c>
      <c r="N162" s="11">
        <v>258.86</v>
      </c>
      <c r="O162" s="13">
        <v>1.1299999999999999E-2</v>
      </c>
      <c r="P162" s="13">
        <v>7.1499999999999994E-2</v>
      </c>
      <c r="Q162" s="13">
        <v>0.38250000000000001</v>
      </c>
      <c r="R162" s="13">
        <v>0.48089999999999999</v>
      </c>
      <c r="S162" s="13"/>
      <c r="T162" s="13">
        <v>5.3800000000000001E-2</v>
      </c>
      <c r="U162" s="14" t="s">
        <v>230</v>
      </c>
      <c r="V162" s="15">
        <f>SUM(O162:T162)</f>
        <v>0.99999999999999989</v>
      </c>
    </row>
    <row r="163" spans="2:22" ht="30" x14ac:dyDescent="0.25">
      <c r="B163" s="7">
        <v>1079</v>
      </c>
      <c r="C163" s="7" t="s">
        <v>102</v>
      </c>
      <c r="D163" s="8" t="s">
        <v>227</v>
      </c>
      <c r="E163" s="7"/>
      <c r="F163" s="7" t="s">
        <v>301</v>
      </c>
      <c r="G163" s="9" t="s">
        <v>229</v>
      </c>
      <c r="H163" s="10">
        <v>44330</v>
      </c>
      <c r="I163" s="11">
        <v>4165.7380199999998</v>
      </c>
      <c r="J163" s="11">
        <v>80.681980000000294</v>
      </c>
      <c r="K163" s="11">
        <v>4246.42</v>
      </c>
      <c r="L163" s="12">
        <v>0.98099999999999998</v>
      </c>
      <c r="M163" s="11">
        <v>93.46</v>
      </c>
      <c r="N163" s="11">
        <v>224.6</v>
      </c>
      <c r="O163" s="13">
        <v>2.23E-2</v>
      </c>
      <c r="P163" s="13">
        <v>6.4799999999999996E-2</v>
      </c>
      <c r="Q163" s="13">
        <v>0.59970000000000001</v>
      </c>
      <c r="R163" s="13">
        <v>0.2495</v>
      </c>
      <c r="S163" s="13"/>
      <c r="T163" s="13">
        <v>6.3700000000000007E-2</v>
      </c>
      <c r="U163" s="14" t="s">
        <v>230</v>
      </c>
      <c r="V163" s="15">
        <v>0.99999999999999989</v>
      </c>
    </row>
    <row r="164" spans="2:22" x14ac:dyDescent="0.25">
      <c r="B164" s="7">
        <v>1122</v>
      </c>
      <c r="C164" s="7" t="s">
        <v>103</v>
      </c>
      <c r="D164" s="8" t="s">
        <v>227</v>
      </c>
      <c r="E164" s="7"/>
      <c r="F164" s="7" t="s">
        <v>264</v>
      </c>
      <c r="G164" s="9" t="s">
        <v>229</v>
      </c>
      <c r="H164" s="10">
        <v>44365</v>
      </c>
      <c r="I164" s="11">
        <v>12843.066879999998</v>
      </c>
      <c r="J164" s="11">
        <v>103.57312000000093</v>
      </c>
      <c r="K164" s="11">
        <v>12946.64</v>
      </c>
      <c r="L164" s="12">
        <v>0.99199999999999999</v>
      </c>
      <c r="M164" s="11">
        <v>93.06</v>
      </c>
      <c r="N164" s="11">
        <v>119.23</v>
      </c>
      <c r="O164" s="13">
        <v>2.5600000000000001E-2</v>
      </c>
      <c r="P164" s="13">
        <v>4.4600000000000001E-2</v>
      </c>
      <c r="Q164" s="13">
        <v>0.25940000000000002</v>
      </c>
      <c r="R164" s="13">
        <v>0.36780000000000002</v>
      </c>
      <c r="S164" s="13"/>
      <c r="T164" s="13">
        <v>0.30259999999999998</v>
      </c>
      <c r="U164" s="14" t="s">
        <v>230</v>
      </c>
      <c r="V164" s="15">
        <v>1</v>
      </c>
    </row>
    <row r="165" spans="2:22" ht="30" x14ac:dyDescent="0.25">
      <c r="B165" s="7">
        <v>864</v>
      </c>
      <c r="C165" s="7" t="s">
        <v>104</v>
      </c>
      <c r="D165" s="8" t="s">
        <v>227</v>
      </c>
      <c r="E165" s="7"/>
      <c r="F165" s="7" t="s">
        <v>244</v>
      </c>
      <c r="G165" s="9" t="s">
        <v>229</v>
      </c>
      <c r="H165" s="10">
        <v>44256</v>
      </c>
      <c r="I165" s="11">
        <v>2838.3174899999999</v>
      </c>
      <c r="J165" s="11">
        <v>54.972510000000057</v>
      </c>
      <c r="K165" s="11">
        <v>2893.29</v>
      </c>
      <c r="L165" s="12">
        <v>0.98099999999999998</v>
      </c>
      <c r="M165" s="11">
        <v>542.19000000000005</v>
      </c>
      <c r="N165" s="11">
        <v>967.93</v>
      </c>
      <c r="O165" s="13">
        <v>8.3299999999999999E-2</v>
      </c>
      <c r="P165" s="13"/>
      <c r="Q165" s="13">
        <v>0.67190000000000005</v>
      </c>
      <c r="R165" s="13"/>
      <c r="S165" s="13">
        <v>0.15670000000000001</v>
      </c>
      <c r="T165" s="13">
        <v>8.8099999999999998E-2</v>
      </c>
      <c r="U165" s="14" t="s">
        <v>230</v>
      </c>
      <c r="V165" s="15">
        <v>1.0000000000000002</v>
      </c>
    </row>
    <row r="166" spans="2:22" ht="30" x14ac:dyDescent="0.25">
      <c r="B166" s="7">
        <v>2022</v>
      </c>
      <c r="C166" s="7" t="s">
        <v>104</v>
      </c>
      <c r="D166" s="8" t="s">
        <v>227</v>
      </c>
      <c r="E166" s="7"/>
      <c r="F166" s="7" t="s">
        <v>244</v>
      </c>
      <c r="G166" s="9" t="s">
        <v>229</v>
      </c>
      <c r="H166" s="10">
        <v>44923</v>
      </c>
      <c r="I166" s="11">
        <f>K166*L166</f>
        <v>3489.3599999999997</v>
      </c>
      <c r="J166" s="11">
        <f>K166-I166</f>
        <v>230.64000000000033</v>
      </c>
      <c r="K166" s="11">
        <v>3720</v>
      </c>
      <c r="L166" s="12">
        <v>0.93799999999999994</v>
      </c>
      <c r="M166" s="11">
        <v>223.88</v>
      </c>
      <c r="N166" s="11">
        <v>352.4</v>
      </c>
      <c r="O166" s="13">
        <v>1.9E-2</v>
      </c>
      <c r="P166" s="13">
        <v>0.30769999999999997</v>
      </c>
      <c r="Q166" s="13">
        <v>0.66110000000000002</v>
      </c>
      <c r="R166" s="13">
        <v>7.4000000000000003E-3</v>
      </c>
      <c r="S166" s="13"/>
      <c r="T166" s="13">
        <v>4.8999999999999998E-3</v>
      </c>
      <c r="U166" s="14" t="s">
        <v>230</v>
      </c>
      <c r="V166" s="15">
        <f>SUM(O166:T166)</f>
        <v>1.0001</v>
      </c>
    </row>
    <row r="167" spans="2:22" ht="30" x14ac:dyDescent="0.25">
      <c r="B167" s="7">
        <v>1714</v>
      </c>
      <c r="C167" s="7" t="s">
        <v>104</v>
      </c>
      <c r="D167" s="8" t="s">
        <v>227</v>
      </c>
      <c r="E167" s="7"/>
      <c r="F167" s="7" t="s">
        <v>244</v>
      </c>
      <c r="G167" s="9" t="s">
        <v>229</v>
      </c>
      <c r="H167" s="10">
        <v>44778</v>
      </c>
      <c r="I167" s="11">
        <f>K167*L167</f>
        <v>3489.3599999999997</v>
      </c>
      <c r="J167" s="11">
        <f>K167-I167</f>
        <v>230.64000000000033</v>
      </c>
      <c r="K167" s="11">
        <v>3720</v>
      </c>
      <c r="L167" s="12">
        <v>0.93799999999999994</v>
      </c>
      <c r="M167" s="11">
        <v>102.56</v>
      </c>
      <c r="N167" s="11">
        <v>191.81</v>
      </c>
      <c r="O167" s="13">
        <v>4.8899999999999999E-2</v>
      </c>
      <c r="P167" s="13">
        <v>0.37680000000000002</v>
      </c>
      <c r="Q167" s="13">
        <v>0.48620000000000002</v>
      </c>
      <c r="R167" s="13">
        <v>6.5799999999999997E-2</v>
      </c>
      <c r="S167" s="13"/>
      <c r="T167" s="13">
        <v>2.23E-2</v>
      </c>
      <c r="U167" s="14" t="s">
        <v>230</v>
      </c>
      <c r="V167" s="15">
        <f>SUM(O167:T167)</f>
        <v>1</v>
      </c>
    </row>
    <row r="168" spans="2:22" ht="30" x14ac:dyDescent="0.25">
      <c r="B168" s="7">
        <v>625</v>
      </c>
      <c r="C168" s="7" t="s">
        <v>105</v>
      </c>
      <c r="D168" s="8" t="s">
        <v>227</v>
      </c>
      <c r="E168" s="7"/>
      <c r="F168" s="7" t="s">
        <v>264</v>
      </c>
      <c r="G168" s="9" t="s">
        <v>229</v>
      </c>
      <c r="H168" s="10">
        <v>44202</v>
      </c>
      <c r="I168" s="11">
        <v>19372.653054000002</v>
      </c>
      <c r="J168" s="11">
        <v>150.32694599999741</v>
      </c>
      <c r="K168" s="11">
        <v>19522.98</v>
      </c>
      <c r="L168" s="12">
        <v>0.99230000000000007</v>
      </c>
      <c r="M168" s="11">
        <v>495.71</v>
      </c>
      <c r="N168" s="11">
        <v>702.9</v>
      </c>
      <c r="O168" s="13">
        <v>2.7400000000000001E-2</v>
      </c>
      <c r="P168" s="13"/>
      <c r="Q168" s="13">
        <v>0.15279999999999999</v>
      </c>
      <c r="R168" s="13"/>
      <c r="S168" s="13">
        <v>0.46920000000000001</v>
      </c>
      <c r="T168" s="13">
        <v>0.35060000000000002</v>
      </c>
      <c r="U168" s="14" t="s">
        <v>247</v>
      </c>
      <c r="V168" s="15">
        <v>1</v>
      </c>
    </row>
    <row r="169" spans="2:22" ht="30" x14ac:dyDescent="0.25">
      <c r="B169" s="7">
        <v>1649</v>
      </c>
      <c r="C169" s="7" t="s">
        <v>105</v>
      </c>
      <c r="D169" s="8" t="s">
        <v>227</v>
      </c>
      <c r="E169" s="7"/>
      <c r="F169" s="7" t="s">
        <v>264</v>
      </c>
      <c r="G169" s="9" t="s">
        <v>229</v>
      </c>
      <c r="H169" s="10">
        <v>44750</v>
      </c>
      <c r="I169" s="16">
        <f>K169*L169</f>
        <v>2389.6144199999999</v>
      </c>
      <c r="J169" s="16">
        <f>K169-I169</f>
        <v>286.32558000000017</v>
      </c>
      <c r="K169" s="11">
        <v>2675.94</v>
      </c>
      <c r="L169" s="12">
        <v>0.89300000000000002</v>
      </c>
      <c r="M169" s="11">
        <v>82.24</v>
      </c>
      <c r="N169" s="11">
        <v>121.62</v>
      </c>
      <c r="O169" s="17">
        <v>3.5000000000000003E-2</v>
      </c>
      <c r="P169" s="17">
        <v>0.28860000000000002</v>
      </c>
      <c r="Q169" s="17">
        <v>0.30099999999999999</v>
      </c>
      <c r="R169" s="17">
        <v>0.26750000000000002</v>
      </c>
      <c r="S169" s="17"/>
      <c r="T169" s="17">
        <v>0.1079</v>
      </c>
      <c r="U169" s="7" t="s">
        <v>230</v>
      </c>
      <c r="V169" s="15">
        <f>SUM(O169:T169)</f>
        <v>1</v>
      </c>
    </row>
    <row r="170" spans="2:22" ht="30" x14ac:dyDescent="0.25">
      <c r="B170" s="7">
        <v>2169</v>
      </c>
      <c r="C170" s="7" t="s">
        <v>106</v>
      </c>
      <c r="D170" s="8" t="s">
        <v>227</v>
      </c>
      <c r="E170" s="7"/>
      <c r="F170" s="7" t="s">
        <v>292</v>
      </c>
      <c r="G170" s="9" t="s">
        <v>229</v>
      </c>
      <c r="H170" s="10">
        <v>45051</v>
      </c>
      <c r="I170" s="11">
        <f>K170*L170</f>
        <v>19013.020700000001</v>
      </c>
      <c r="J170" s="11">
        <f>K170-I170</f>
        <v>66.779299999998329</v>
      </c>
      <c r="K170" s="11">
        <v>19079.8</v>
      </c>
      <c r="L170" s="12">
        <v>0.99650000000000005</v>
      </c>
      <c r="M170" s="11">
        <v>152.66786936626127</v>
      </c>
      <c r="N170" s="11">
        <v>334.56235066053756</v>
      </c>
      <c r="O170" s="13">
        <v>4.3034605146406391E-2</v>
      </c>
      <c r="P170" s="13">
        <v>0.15483584738243125</v>
      </c>
      <c r="Q170" s="13">
        <v>0.34338952972493347</v>
      </c>
      <c r="R170" s="13">
        <v>0.23646850044365572</v>
      </c>
      <c r="S170" s="13"/>
      <c r="T170" s="13">
        <v>0.22227151730257322</v>
      </c>
      <c r="U170" s="14" t="s">
        <v>230</v>
      </c>
      <c r="V170" s="15">
        <f>SUM(O170:T170)</f>
        <v>1</v>
      </c>
    </row>
    <row r="171" spans="2:22" ht="30" x14ac:dyDescent="0.25">
      <c r="B171" s="7">
        <v>2092</v>
      </c>
      <c r="C171" s="7" t="s">
        <v>107</v>
      </c>
      <c r="D171" s="8" t="s">
        <v>227</v>
      </c>
      <c r="E171" s="7"/>
      <c r="F171" s="7" t="s">
        <v>240</v>
      </c>
      <c r="G171" s="9" t="s">
        <v>229</v>
      </c>
      <c r="H171" s="10">
        <v>44952.332627314812</v>
      </c>
      <c r="I171" s="11">
        <f>K171*L171</f>
        <v>0</v>
      </c>
      <c r="J171" s="11">
        <f>K171-I171</f>
        <v>0</v>
      </c>
      <c r="K171" s="11">
        <f>IFERROR(IF([1]!Tabla1[[#This Row],[POZO]]="",K170,VLOOKUP(C171,[2]Sheet1!$B$3:$E$1048576,2,FALSE)),0)</f>
        <v>0</v>
      </c>
      <c r="L171" s="12">
        <v>0.9951000000000001</v>
      </c>
      <c r="M171" s="11">
        <v>86.442269175745992</v>
      </c>
      <c r="N171" s="11">
        <v>223.49837729923996</v>
      </c>
      <c r="O171" s="13">
        <v>2.366278627406224E-2</v>
      </c>
      <c r="P171" s="13">
        <v>0.17096553298333717</v>
      </c>
      <c r="Q171" s="13">
        <v>0.28752948337518075</v>
      </c>
      <c r="R171" s="13">
        <v>0.19181313246595147</v>
      </c>
      <c r="S171" s="13"/>
      <c r="T171" s="13">
        <v>0.32602906490146849</v>
      </c>
      <c r="U171" s="14" t="s">
        <v>230</v>
      </c>
      <c r="V171" s="15">
        <f>SUM(O171:T171)</f>
        <v>1</v>
      </c>
    </row>
    <row r="172" spans="2:22" ht="30" x14ac:dyDescent="0.25">
      <c r="B172" s="7">
        <v>90</v>
      </c>
      <c r="C172" s="7" t="s">
        <v>108</v>
      </c>
      <c r="D172" s="8" t="s">
        <v>227</v>
      </c>
      <c r="E172" s="7"/>
      <c r="F172" s="7" t="s">
        <v>282</v>
      </c>
      <c r="G172" s="9" t="s">
        <v>229</v>
      </c>
      <c r="H172" s="10">
        <v>43907</v>
      </c>
      <c r="I172" s="11">
        <v>92</v>
      </c>
      <c r="J172" s="11">
        <v>23</v>
      </c>
      <c r="K172" s="11">
        <v>115</v>
      </c>
      <c r="L172" s="12">
        <v>0.8</v>
      </c>
      <c r="M172" s="11">
        <v>95.77</v>
      </c>
      <c r="N172" s="11">
        <v>151.5</v>
      </c>
      <c r="O172" s="13">
        <v>7.0099999999999996E-2</v>
      </c>
      <c r="P172" s="13"/>
      <c r="Q172" s="13">
        <v>0.33710000000000001</v>
      </c>
      <c r="R172" s="13"/>
      <c r="S172" s="13">
        <v>0.41320000000000001</v>
      </c>
      <c r="T172" s="13">
        <v>0.17960000000000001</v>
      </c>
      <c r="U172" s="14" t="s">
        <v>247</v>
      </c>
      <c r="V172" s="15">
        <v>1</v>
      </c>
    </row>
    <row r="173" spans="2:22" ht="30" x14ac:dyDescent="0.25">
      <c r="B173" s="7">
        <v>804</v>
      </c>
      <c r="C173" s="7" t="s">
        <v>109</v>
      </c>
      <c r="D173" s="8" t="s">
        <v>227</v>
      </c>
      <c r="E173" s="7"/>
      <c r="F173" s="7" t="s">
        <v>282</v>
      </c>
      <c r="G173" s="9" t="s">
        <v>229</v>
      </c>
      <c r="H173" s="10">
        <v>44243</v>
      </c>
      <c r="I173" s="11">
        <v>2767.2542300000005</v>
      </c>
      <c r="J173" s="11">
        <v>94.435769999999593</v>
      </c>
      <c r="K173" s="11">
        <v>2861.69</v>
      </c>
      <c r="L173" s="12">
        <v>0.96700000000000008</v>
      </c>
      <c r="M173" s="11">
        <v>195.07</v>
      </c>
      <c r="N173" s="11">
        <v>353.73</v>
      </c>
      <c r="O173" s="13">
        <v>0.10059999999999999</v>
      </c>
      <c r="P173" s="13"/>
      <c r="Q173" s="13">
        <v>0.49259999999999998</v>
      </c>
      <c r="R173" s="13"/>
      <c r="S173" s="13">
        <v>0.19370000000000001</v>
      </c>
      <c r="T173" s="13">
        <v>0.2132</v>
      </c>
      <c r="U173" s="14" t="s">
        <v>247</v>
      </c>
      <c r="V173" s="15">
        <v>1.0001</v>
      </c>
    </row>
    <row r="174" spans="2:22" x14ac:dyDescent="0.25">
      <c r="B174" s="7">
        <v>1222</v>
      </c>
      <c r="C174" s="7" t="s">
        <v>109</v>
      </c>
      <c r="D174" s="8" t="s">
        <v>227</v>
      </c>
      <c r="E174" s="7"/>
      <c r="F174" s="7" t="s">
        <v>282</v>
      </c>
      <c r="G174" s="9" t="s">
        <v>229</v>
      </c>
      <c r="H174" s="10">
        <v>44427</v>
      </c>
      <c r="I174" s="11">
        <v>2767.2542300000005</v>
      </c>
      <c r="J174" s="11">
        <v>94.435769999999593</v>
      </c>
      <c r="K174" s="11">
        <v>2861.69</v>
      </c>
      <c r="L174" s="12">
        <v>0.96700000000000008</v>
      </c>
      <c r="M174" s="11">
        <v>151.83000000000001</v>
      </c>
      <c r="N174" s="11">
        <v>270.63</v>
      </c>
      <c r="O174" s="13">
        <v>5.6500000000000002E-2</v>
      </c>
      <c r="P174" s="13">
        <v>0.16220000000000001</v>
      </c>
      <c r="Q174" s="13">
        <v>0.42580000000000001</v>
      </c>
      <c r="R174" s="13">
        <v>0.2412</v>
      </c>
      <c r="S174" s="13"/>
      <c r="T174" s="13">
        <v>0.1143</v>
      </c>
      <c r="U174" s="14" t="s">
        <v>230</v>
      </c>
      <c r="V174" s="15">
        <v>1</v>
      </c>
    </row>
    <row r="175" spans="2:22" x14ac:dyDescent="0.25">
      <c r="B175" s="7">
        <v>1654</v>
      </c>
      <c r="C175" s="7" t="s">
        <v>110</v>
      </c>
      <c r="D175" s="8" t="s">
        <v>227</v>
      </c>
      <c r="E175" s="7"/>
      <c r="F175" s="7" t="s">
        <v>295</v>
      </c>
      <c r="G175" s="9" t="s">
        <v>229</v>
      </c>
      <c r="H175" s="10">
        <v>44753</v>
      </c>
      <c r="I175" s="16">
        <f>K175*L175</f>
        <v>1998.75</v>
      </c>
      <c r="J175" s="16">
        <f>K175-I175</f>
        <v>51.25</v>
      </c>
      <c r="K175" s="11">
        <v>2050</v>
      </c>
      <c r="L175" s="12">
        <v>0.97499999999999998</v>
      </c>
      <c r="M175" s="11">
        <v>89.97</v>
      </c>
      <c r="N175" s="11">
        <v>165.09</v>
      </c>
      <c r="O175" s="17">
        <v>0.15379999999999999</v>
      </c>
      <c r="P175" s="17">
        <v>0.40089999999999998</v>
      </c>
      <c r="Q175" s="17">
        <v>0.22040000000000001</v>
      </c>
      <c r="R175" s="17">
        <v>0.13700000000000001</v>
      </c>
      <c r="S175" s="17"/>
      <c r="T175" s="17">
        <v>8.7999999999999995E-2</v>
      </c>
      <c r="U175" s="7" t="s">
        <v>230</v>
      </c>
      <c r="V175" s="15">
        <f>SUM(O175:T175)</f>
        <v>1.0001</v>
      </c>
    </row>
    <row r="176" spans="2:22" ht="30" x14ac:dyDescent="0.25">
      <c r="B176" s="7">
        <v>1536</v>
      </c>
      <c r="C176" s="7" t="s">
        <v>111</v>
      </c>
      <c r="D176" s="8" t="s">
        <v>227</v>
      </c>
      <c r="E176" s="7"/>
      <c r="F176" s="7" t="s">
        <v>245</v>
      </c>
      <c r="G176" s="9" t="s">
        <v>229</v>
      </c>
      <c r="H176" s="10">
        <v>44691</v>
      </c>
      <c r="I176" s="11">
        <f>K176*L176</f>
        <v>7762.3623500000012</v>
      </c>
      <c r="J176" s="11">
        <f>K176-I176</f>
        <v>58.657649999999194</v>
      </c>
      <c r="K176" s="11">
        <v>7821.02</v>
      </c>
      <c r="L176" s="12">
        <v>0.99250000000000005</v>
      </c>
      <c r="M176" s="11">
        <v>1202.6099999999999</v>
      </c>
      <c r="N176" s="11">
        <v>2983.36</v>
      </c>
      <c r="O176" s="13">
        <v>6.1999999999999998E-3</v>
      </c>
      <c r="P176" s="13">
        <v>2.1600000000000001E-2</v>
      </c>
      <c r="Q176" s="13">
        <v>8.8900000000000007E-2</v>
      </c>
      <c r="R176" s="13">
        <v>0.15479999999999999</v>
      </c>
      <c r="S176" s="13"/>
      <c r="T176" s="13">
        <v>0.72850000000000004</v>
      </c>
      <c r="U176" s="14" t="s">
        <v>230</v>
      </c>
      <c r="V176" s="15">
        <f>SUM(O176:T176)</f>
        <v>1</v>
      </c>
    </row>
    <row r="177" spans="2:22" ht="30" x14ac:dyDescent="0.25">
      <c r="B177" s="7">
        <v>1921</v>
      </c>
      <c r="C177" s="7" t="s">
        <v>112</v>
      </c>
      <c r="D177" s="8" t="s">
        <v>227</v>
      </c>
      <c r="E177" s="7"/>
      <c r="F177" s="7" t="s">
        <v>287</v>
      </c>
      <c r="G177" s="9" t="s">
        <v>229</v>
      </c>
      <c r="H177" s="10">
        <v>44873</v>
      </c>
      <c r="I177" s="11">
        <f>K177*L177</f>
        <v>1564</v>
      </c>
      <c r="J177" s="11">
        <f>K177-I177</f>
        <v>136</v>
      </c>
      <c r="K177" s="11">
        <v>1700</v>
      </c>
      <c r="L177" s="12">
        <v>0.92</v>
      </c>
      <c r="M177" s="11">
        <v>180.88</v>
      </c>
      <c r="N177" s="11">
        <v>318.29000000000002</v>
      </c>
      <c r="O177" s="13">
        <v>5.9400000000000001E-2</v>
      </c>
      <c r="P177" s="13">
        <v>0.3841</v>
      </c>
      <c r="Q177" s="13">
        <v>0.53879999999999995</v>
      </c>
      <c r="R177" s="13">
        <v>1.34E-2</v>
      </c>
      <c r="S177" s="13"/>
      <c r="T177" s="13">
        <v>4.4000000000000003E-3</v>
      </c>
      <c r="U177" s="14" t="s">
        <v>230</v>
      </c>
      <c r="V177" s="15">
        <f>SUM(O177:T177)</f>
        <v>1.0001</v>
      </c>
    </row>
    <row r="178" spans="2:22" ht="30" x14ac:dyDescent="0.25">
      <c r="B178" s="7">
        <v>1437</v>
      </c>
      <c r="C178" s="7" t="s">
        <v>113</v>
      </c>
      <c r="D178" s="8" t="s">
        <v>227</v>
      </c>
      <c r="E178" s="7"/>
      <c r="F178" s="7" t="s">
        <v>239</v>
      </c>
      <c r="G178" s="9" t="s">
        <v>229</v>
      </c>
      <c r="H178" s="10">
        <v>44621</v>
      </c>
      <c r="I178" s="11">
        <f>K178*L178</f>
        <v>1745.2335600000001</v>
      </c>
      <c r="J178" s="11">
        <f>K178-I178</f>
        <v>61.426439999999957</v>
      </c>
      <c r="K178" s="11">
        <v>1806.66</v>
      </c>
      <c r="L178" s="12">
        <v>0.96599999999999997</v>
      </c>
      <c r="M178" s="11">
        <v>1619.45</v>
      </c>
      <c r="N178" s="11">
        <v>3253.86</v>
      </c>
      <c r="O178" s="13">
        <v>2.3099999999999999E-2</v>
      </c>
      <c r="P178" s="13">
        <v>0.56000000000000005</v>
      </c>
      <c r="Q178" s="13">
        <v>0.40279999999999999</v>
      </c>
      <c r="R178" s="13">
        <v>8.6E-3</v>
      </c>
      <c r="S178" s="13"/>
      <c r="T178" s="13">
        <v>5.4999999999999997E-3</v>
      </c>
      <c r="U178" s="14" t="s">
        <v>230</v>
      </c>
      <c r="V178" s="15">
        <f>SUM(O178:T178)</f>
        <v>1</v>
      </c>
    </row>
    <row r="179" spans="2:22" ht="30" x14ac:dyDescent="0.25">
      <c r="B179" s="7">
        <v>1762</v>
      </c>
      <c r="C179" s="7" t="s">
        <v>114</v>
      </c>
      <c r="D179" s="8" t="s">
        <v>227</v>
      </c>
      <c r="E179" s="7"/>
      <c r="F179" s="7" t="s">
        <v>244</v>
      </c>
      <c r="G179" s="9" t="s">
        <v>229</v>
      </c>
      <c r="H179" s="10">
        <v>44806</v>
      </c>
      <c r="I179" s="11">
        <f>K179*L179</f>
        <v>22492.725318000001</v>
      </c>
      <c r="J179" s="11">
        <f>K179-I179</f>
        <v>103.94468199999756</v>
      </c>
      <c r="K179" s="11">
        <v>22596.67</v>
      </c>
      <c r="L179" s="12">
        <v>0.99540000000000006</v>
      </c>
      <c r="M179" s="11">
        <v>89.9</v>
      </c>
      <c r="N179" s="11">
        <v>119.64</v>
      </c>
      <c r="O179" s="13">
        <v>4.3900000000000002E-2</v>
      </c>
      <c r="P179" s="13">
        <v>8.3299999999999999E-2</v>
      </c>
      <c r="Q179" s="13">
        <v>0.35909999999999997</v>
      </c>
      <c r="R179" s="13">
        <v>0.33129999999999998</v>
      </c>
      <c r="S179" s="13"/>
      <c r="T179" s="13">
        <v>0.18229999999999999</v>
      </c>
      <c r="U179" s="14" t="s">
        <v>230</v>
      </c>
      <c r="V179" s="15">
        <f>SUM(O179:T179)</f>
        <v>0.9998999999999999</v>
      </c>
    </row>
    <row r="180" spans="2:22" x14ac:dyDescent="0.25">
      <c r="B180" s="7">
        <v>225</v>
      </c>
      <c r="C180" s="7" t="s">
        <v>115</v>
      </c>
      <c r="D180" s="8" t="s">
        <v>227</v>
      </c>
      <c r="E180" s="7"/>
      <c r="F180" s="7" t="s">
        <v>302</v>
      </c>
      <c r="G180" s="9" t="s">
        <v>229</v>
      </c>
      <c r="H180" s="10">
        <v>44074</v>
      </c>
      <c r="I180" s="11">
        <v>1640.6774</v>
      </c>
      <c r="J180" s="11">
        <v>50.742600000000039</v>
      </c>
      <c r="K180" s="11">
        <v>1691.42</v>
      </c>
      <c r="L180" s="12">
        <v>0.97</v>
      </c>
      <c r="M180" s="11">
        <v>109.37</v>
      </c>
      <c r="N180" s="11">
        <v>118.45</v>
      </c>
      <c r="O180" s="13">
        <v>0.14699999999999999</v>
      </c>
      <c r="P180" s="13"/>
      <c r="Q180" s="13">
        <v>0.72699999999999998</v>
      </c>
      <c r="R180" s="13"/>
      <c r="S180" s="13">
        <v>8.6400000000000005E-2</v>
      </c>
      <c r="T180" s="13">
        <v>3.9600000000000003E-2</v>
      </c>
      <c r="U180" s="14" t="s">
        <v>247</v>
      </c>
      <c r="V180" s="15">
        <v>1</v>
      </c>
    </row>
    <row r="181" spans="2:22" ht="30" x14ac:dyDescent="0.25">
      <c r="B181" s="7">
        <v>1608</v>
      </c>
      <c r="C181" s="7" t="s">
        <v>116</v>
      </c>
      <c r="D181" s="8" t="s">
        <v>227</v>
      </c>
      <c r="E181" s="7"/>
      <c r="F181" s="7" t="s">
        <v>244</v>
      </c>
      <c r="G181" s="9" t="s">
        <v>229</v>
      </c>
      <c r="H181" s="10">
        <v>44727</v>
      </c>
      <c r="I181" s="11">
        <f t="shared" ref="I181:I187" si="3">K181*L181</f>
        <v>18405.480305000001</v>
      </c>
      <c r="J181" s="11">
        <f t="shared" ref="J181:J187" si="4">K181-I181</f>
        <v>27.649695000000065</v>
      </c>
      <c r="K181" s="11">
        <v>18433.13</v>
      </c>
      <c r="L181" s="12">
        <v>0.99850000000000005</v>
      </c>
      <c r="M181" s="11">
        <v>187.01</v>
      </c>
      <c r="N181" s="11">
        <v>794.76</v>
      </c>
      <c r="O181" s="13">
        <v>7.6E-3</v>
      </c>
      <c r="P181" s="13">
        <v>0.11799999999999999</v>
      </c>
      <c r="Q181" s="13">
        <v>0.53649999999999998</v>
      </c>
      <c r="R181" s="13">
        <v>0.28599999999999998</v>
      </c>
      <c r="S181" s="13"/>
      <c r="T181" s="13">
        <v>5.1900000000000002E-2</v>
      </c>
      <c r="U181" s="14" t="s">
        <v>230</v>
      </c>
      <c r="V181" s="15">
        <f t="shared" ref="V181:V187" si="5">SUM(O181:T181)</f>
        <v>1</v>
      </c>
    </row>
    <row r="182" spans="2:22" x14ac:dyDescent="0.25">
      <c r="B182" s="7">
        <v>1620</v>
      </c>
      <c r="C182" s="7" t="s">
        <v>116</v>
      </c>
      <c r="D182" s="8" t="s">
        <v>227</v>
      </c>
      <c r="E182" s="7"/>
      <c r="F182" s="7" t="s">
        <v>244</v>
      </c>
      <c r="G182" s="9" t="s">
        <v>229</v>
      </c>
      <c r="H182" s="10">
        <v>44734</v>
      </c>
      <c r="I182" s="11">
        <f t="shared" si="3"/>
        <v>18405.480305000001</v>
      </c>
      <c r="J182" s="11">
        <f t="shared" si="4"/>
        <v>27.649695000000065</v>
      </c>
      <c r="K182" s="11">
        <v>18433.13</v>
      </c>
      <c r="L182" s="12">
        <v>0.99850000000000005</v>
      </c>
      <c r="M182" s="11">
        <v>186.62</v>
      </c>
      <c r="N182" s="11">
        <v>551.78</v>
      </c>
      <c r="O182" s="13">
        <v>1.9E-2</v>
      </c>
      <c r="P182" s="13">
        <v>0.1069</v>
      </c>
      <c r="Q182" s="13">
        <v>0.32979999999999998</v>
      </c>
      <c r="R182" s="13">
        <v>0.3256</v>
      </c>
      <c r="S182" s="13"/>
      <c r="T182" s="13">
        <v>0.21870000000000001</v>
      </c>
      <c r="U182" s="14" t="s">
        <v>230</v>
      </c>
      <c r="V182" s="15">
        <f t="shared" si="5"/>
        <v>1</v>
      </c>
    </row>
    <row r="183" spans="2:22" x14ac:dyDescent="0.25">
      <c r="B183" s="7">
        <v>1618</v>
      </c>
      <c r="C183" s="7" t="s">
        <v>116</v>
      </c>
      <c r="D183" s="8" t="s">
        <v>227</v>
      </c>
      <c r="E183" s="7"/>
      <c r="F183" s="7" t="s">
        <v>244</v>
      </c>
      <c r="G183" s="9" t="s">
        <v>229</v>
      </c>
      <c r="H183" s="10">
        <v>44733</v>
      </c>
      <c r="I183" s="11">
        <f t="shared" si="3"/>
        <v>18405.480305000001</v>
      </c>
      <c r="J183" s="11">
        <f t="shared" si="4"/>
        <v>27.649695000000065</v>
      </c>
      <c r="K183" s="11">
        <v>18433.13</v>
      </c>
      <c r="L183" s="12">
        <v>0.99850000000000005</v>
      </c>
      <c r="M183" s="11">
        <v>151.53</v>
      </c>
      <c r="N183" s="11">
        <v>173.57</v>
      </c>
      <c r="O183" s="13">
        <v>1.77E-2</v>
      </c>
      <c r="P183" s="13">
        <v>0.1305</v>
      </c>
      <c r="Q183" s="13">
        <v>0.439</v>
      </c>
      <c r="R183" s="13">
        <v>0.24660000000000001</v>
      </c>
      <c r="S183" s="13"/>
      <c r="T183" s="13">
        <v>0.16619999999999999</v>
      </c>
      <c r="U183" s="14" t="s">
        <v>230</v>
      </c>
      <c r="V183" s="15">
        <f t="shared" si="5"/>
        <v>1</v>
      </c>
    </row>
    <row r="184" spans="2:22" ht="30" x14ac:dyDescent="0.25">
      <c r="B184" s="7">
        <v>1639</v>
      </c>
      <c r="C184" s="7" t="s">
        <v>116</v>
      </c>
      <c r="D184" s="8" t="s">
        <v>227</v>
      </c>
      <c r="E184" s="7"/>
      <c r="F184" s="7" t="s">
        <v>244</v>
      </c>
      <c r="G184" s="9" t="s">
        <v>229</v>
      </c>
      <c r="H184" s="10">
        <v>44747</v>
      </c>
      <c r="I184" s="16">
        <f t="shared" si="3"/>
        <v>6190.7000000000007</v>
      </c>
      <c r="J184" s="16">
        <f t="shared" si="4"/>
        <v>9.2999999999992724</v>
      </c>
      <c r="K184" s="11">
        <v>6200</v>
      </c>
      <c r="L184" s="12">
        <v>0.99850000000000005</v>
      </c>
      <c r="M184" s="11">
        <v>111.14</v>
      </c>
      <c r="N184" s="11">
        <v>290.11</v>
      </c>
      <c r="O184" s="17">
        <v>6.4399999999999999E-2</v>
      </c>
      <c r="P184" s="17">
        <v>0.19639999999999999</v>
      </c>
      <c r="Q184" s="17">
        <v>0.31619999999999998</v>
      </c>
      <c r="R184" s="17">
        <v>0.29830000000000001</v>
      </c>
      <c r="S184" s="17"/>
      <c r="T184" s="17">
        <v>0.12470000000000001</v>
      </c>
      <c r="U184" s="7" t="s">
        <v>230</v>
      </c>
      <c r="V184" s="15">
        <f t="shared" si="5"/>
        <v>1</v>
      </c>
    </row>
    <row r="185" spans="2:22" ht="30" x14ac:dyDescent="0.25">
      <c r="B185" s="7">
        <v>1626</v>
      </c>
      <c r="C185" s="7" t="s">
        <v>116</v>
      </c>
      <c r="D185" s="8" t="s">
        <v>227</v>
      </c>
      <c r="E185" s="7"/>
      <c r="F185" s="7" t="s">
        <v>244</v>
      </c>
      <c r="G185" s="9" t="s">
        <v>229</v>
      </c>
      <c r="H185" s="10">
        <v>44736</v>
      </c>
      <c r="I185" s="11">
        <f t="shared" si="3"/>
        <v>18405.480305000001</v>
      </c>
      <c r="J185" s="11">
        <f t="shared" si="4"/>
        <v>27.649695000000065</v>
      </c>
      <c r="K185" s="11">
        <v>18433.13</v>
      </c>
      <c r="L185" s="12">
        <v>0.99850000000000005</v>
      </c>
      <c r="M185" s="11">
        <v>81.88</v>
      </c>
      <c r="N185" s="11">
        <v>209.48</v>
      </c>
      <c r="O185" s="13">
        <v>2.2800000000000001E-2</v>
      </c>
      <c r="P185" s="13">
        <v>0.1268</v>
      </c>
      <c r="Q185" s="13">
        <v>0.51729999999999998</v>
      </c>
      <c r="R185" s="13">
        <v>0.27229999999999999</v>
      </c>
      <c r="S185" s="13"/>
      <c r="T185" s="13">
        <v>6.08E-2</v>
      </c>
      <c r="U185" s="14" t="s">
        <v>230</v>
      </c>
      <c r="V185" s="15">
        <f t="shared" si="5"/>
        <v>1</v>
      </c>
    </row>
    <row r="186" spans="2:22" ht="30" x14ac:dyDescent="0.25">
      <c r="B186" s="7">
        <v>1623</v>
      </c>
      <c r="C186" s="7" t="s">
        <v>116</v>
      </c>
      <c r="D186" s="8" t="s">
        <v>227</v>
      </c>
      <c r="E186" s="7"/>
      <c r="F186" s="7" t="s">
        <v>244</v>
      </c>
      <c r="G186" s="9" t="s">
        <v>229</v>
      </c>
      <c r="H186" s="10">
        <v>44735</v>
      </c>
      <c r="I186" s="11">
        <f t="shared" si="3"/>
        <v>18405.480305000001</v>
      </c>
      <c r="J186" s="11">
        <f t="shared" si="4"/>
        <v>27.649695000000065</v>
      </c>
      <c r="K186" s="11">
        <v>18433.13</v>
      </c>
      <c r="L186" s="12">
        <v>0.99850000000000005</v>
      </c>
      <c r="M186" s="11">
        <v>80.98</v>
      </c>
      <c r="N186" s="11">
        <v>182.65</v>
      </c>
      <c r="O186" s="13">
        <v>3.9699999999999999E-2</v>
      </c>
      <c r="P186" s="13">
        <v>0.22370000000000001</v>
      </c>
      <c r="Q186" s="13">
        <v>0.36599999999999999</v>
      </c>
      <c r="R186" s="13">
        <v>0.27979999999999999</v>
      </c>
      <c r="S186" s="13"/>
      <c r="T186" s="13">
        <v>9.0700000000000003E-2</v>
      </c>
      <c r="U186" s="14" t="s">
        <v>230</v>
      </c>
      <c r="V186" s="15">
        <f t="shared" si="5"/>
        <v>0.99990000000000001</v>
      </c>
    </row>
    <row r="187" spans="2:22" ht="30" x14ac:dyDescent="0.25">
      <c r="B187" s="7">
        <v>1599</v>
      </c>
      <c r="C187" s="7" t="s">
        <v>116</v>
      </c>
      <c r="D187" s="8" t="s">
        <v>227</v>
      </c>
      <c r="E187" s="7"/>
      <c r="F187" s="7" t="s">
        <v>244</v>
      </c>
      <c r="G187" s="9" t="s">
        <v>229</v>
      </c>
      <c r="H187" s="10">
        <v>44725</v>
      </c>
      <c r="I187" s="11">
        <f t="shared" si="3"/>
        <v>18405.480305000001</v>
      </c>
      <c r="J187" s="11">
        <f t="shared" si="4"/>
        <v>27.649695000000065</v>
      </c>
      <c r="K187" s="11">
        <v>18433.13</v>
      </c>
      <c r="L187" s="12">
        <v>0.99850000000000005</v>
      </c>
      <c r="M187" s="11">
        <v>80.23</v>
      </c>
      <c r="N187" s="11">
        <v>231.65</v>
      </c>
      <c r="O187" s="13">
        <v>2.87E-2</v>
      </c>
      <c r="P187" s="13">
        <v>0.2424</v>
      </c>
      <c r="Q187" s="13">
        <v>0.54330000000000001</v>
      </c>
      <c r="R187" s="13">
        <v>0.13089999999999999</v>
      </c>
      <c r="S187" s="13"/>
      <c r="T187" s="13">
        <v>5.4699999999999999E-2</v>
      </c>
      <c r="U187" s="14" t="s">
        <v>230</v>
      </c>
      <c r="V187" s="15">
        <f t="shared" si="5"/>
        <v>1</v>
      </c>
    </row>
    <row r="188" spans="2:22" ht="30" x14ac:dyDescent="0.25">
      <c r="B188" s="7">
        <v>653</v>
      </c>
      <c r="C188" s="7" t="s">
        <v>117</v>
      </c>
      <c r="D188" s="8" t="s">
        <v>227</v>
      </c>
      <c r="E188" s="7"/>
      <c r="F188" s="7" t="s">
        <v>252</v>
      </c>
      <c r="G188" s="9" t="s">
        <v>229</v>
      </c>
      <c r="H188" s="10">
        <v>44208</v>
      </c>
      <c r="I188" s="11">
        <v>1919.34006</v>
      </c>
      <c r="J188" s="11">
        <v>86.239939999999933</v>
      </c>
      <c r="K188" s="11">
        <v>2005.58</v>
      </c>
      <c r="L188" s="12">
        <v>0.95700000000000007</v>
      </c>
      <c r="M188" s="11">
        <v>781.96</v>
      </c>
      <c r="N188" s="11">
        <v>1626.86</v>
      </c>
      <c r="O188" s="13">
        <v>4.07E-2</v>
      </c>
      <c r="P188" s="13"/>
      <c r="Q188" s="13">
        <v>0.32700000000000001</v>
      </c>
      <c r="R188" s="13"/>
      <c r="S188" s="13">
        <v>0.33029999999999998</v>
      </c>
      <c r="T188" s="13">
        <v>0.30199999999999999</v>
      </c>
      <c r="U188" s="14" t="s">
        <v>247</v>
      </c>
      <c r="V188" s="15">
        <v>1</v>
      </c>
    </row>
    <row r="189" spans="2:22" ht="30" x14ac:dyDescent="0.25">
      <c r="B189" s="7">
        <v>1576</v>
      </c>
      <c r="C189" s="7" t="s">
        <v>118</v>
      </c>
      <c r="D189" s="8" t="s">
        <v>227</v>
      </c>
      <c r="E189" s="7"/>
      <c r="F189" s="7" t="s">
        <v>270</v>
      </c>
      <c r="G189" s="9" t="s">
        <v>229</v>
      </c>
      <c r="H189" s="10">
        <v>44712</v>
      </c>
      <c r="I189" s="11">
        <f>K189*L189</f>
        <v>2035.1964000000003</v>
      </c>
      <c r="J189" s="11">
        <f>K189-I189</f>
        <v>176.97359999999981</v>
      </c>
      <c r="K189" s="11">
        <v>2212.17</v>
      </c>
      <c r="L189" s="12">
        <v>0.92</v>
      </c>
      <c r="M189" s="11">
        <v>384.49</v>
      </c>
      <c r="N189" s="11">
        <v>585.23</v>
      </c>
      <c r="O189" s="13">
        <v>9.8000000000000004E-2</v>
      </c>
      <c r="P189" s="13">
        <v>0.53269999999999995</v>
      </c>
      <c r="Q189" s="13">
        <v>0.23830000000000001</v>
      </c>
      <c r="R189" s="13">
        <v>9.1999999999999998E-2</v>
      </c>
      <c r="S189" s="13"/>
      <c r="T189" s="13">
        <v>3.9E-2</v>
      </c>
      <c r="U189" s="14" t="s">
        <v>230</v>
      </c>
      <c r="V189" s="15">
        <f>SUM(O189:T189)</f>
        <v>1</v>
      </c>
    </row>
    <row r="190" spans="2:22" ht="30" x14ac:dyDescent="0.25">
      <c r="B190" s="7">
        <v>879</v>
      </c>
      <c r="C190" s="7" t="s">
        <v>118</v>
      </c>
      <c r="D190" s="8" t="s">
        <v>227</v>
      </c>
      <c r="E190" s="7"/>
      <c r="F190" s="7" t="s">
        <v>270</v>
      </c>
      <c r="G190" s="9" t="s">
        <v>229</v>
      </c>
      <c r="H190" s="10">
        <v>44258</v>
      </c>
      <c r="I190" s="11">
        <v>2119.2588599999999</v>
      </c>
      <c r="J190" s="11">
        <v>92.911140000000159</v>
      </c>
      <c r="K190" s="11">
        <v>2212.17</v>
      </c>
      <c r="L190" s="12">
        <v>0.95799999999999996</v>
      </c>
      <c r="M190" s="11">
        <v>179.34</v>
      </c>
      <c r="N190" s="11">
        <v>401.75</v>
      </c>
      <c r="O190" s="13">
        <v>6.9599999999999995E-2</v>
      </c>
      <c r="P190" s="13"/>
      <c r="Q190" s="13">
        <v>0.3584</v>
      </c>
      <c r="R190" s="13"/>
      <c r="S190" s="13">
        <v>0.25090000000000001</v>
      </c>
      <c r="T190" s="13">
        <v>0.3211</v>
      </c>
      <c r="U190" s="14" t="s">
        <v>230</v>
      </c>
      <c r="V190" s="15">
        <v>1</v>
      </c>
    </row>
    <row r="191" spans="2:22" ht="30" x14ac:dyDescent="0.25">
      <c r="B191" s="7">
        <v>596</v>
      </c>
      <c r="C191" s="7" t="s">
        <v>118</v>
      </c>
      <c r="D191" s="8" t="s">
        <v>227</v>
      </c>
      <c r="E191" s="7"/>
      <c r="F191" s="7" t="s">
        <v>270</v>
      </c>
      <c r="G191" s="9" t="s">
        <v>229</v>
      </c>
      <c r="H191" s="10">
        <v>44195</v>
      </c>
      <c r="I191" s="11">
        <v>2119.2588599999999</v>
      </c>
      <c r="J191" s="11">
        <v>92.911140000000159</v>
      </c>
      <c r="K191" s="11">
        <v>2212.17</v>
      </c>
      <c r="L191" s="12">
        <v>0.95799999999999996</v>
      </c>
      <c r="M191" s="11">
        <v>133.22</v>
      </c>
      <c r="N191" s="11">
        <v>133.94999999999999</v>
      </c>
      <c r="O191" s="13">
        <v>0.1326</v>
      </c>
      <c r="P191" s="13"/>
      <c r="Q191" s="13">
        <v>0.45829999999999999</v>
      </c>
      <c r="R191" s="13"/>
      <c r="S191" s="13">
        <v>0.1913</v>
      </c>
      <c r="T191" s="13">
        <v>0.2177</v>
      </c>
      <c r="U191" s="14" t="s">
        <v>230</v>
      </c>
      <c r="V191" s="15">
        <v>0.99990000000000001</v>
      </c>
    </row>
    <row r="192" spans="2:22" ht="30" x14ac:dyDescent="0.25">
      <c r="B192" s="7">
        <v>2085</v>
      </c>
      <c r="C192" s="7" t="s">
        <v>119</v>
      </c>
      <c r="D192" s="8" t="s">
        <v>227</v>
      </c>
      <c r="E192" s="7"/>
      <c r="F192" s="7" t="s">
        <v>284</v>
      </c>
      <c r="G192" s="9" t="s">
        <v>229</v>
      </c>
      <c r="H192" s="10">
        <v>44949</v>
      </c>
      <c r="I192" s="11">
        <f>K192*L192</f>
        <v>0</v>
      </c>
      <c r="J192" s="11">
        <f>K192-I192</f>
        <v>0</v>
      </c>
      <c r="K192" s="11">
        <f>IFERROR(IF([1]!Tabla1[[#This Row],[POZO]]="",K191,VLOOKUP(C192,[2]Sheet1!$B$3:$E$1048576,2,FALSE)),0)</f>
        <v>0</v>
      </c>
      <c r="L192" s="12">
        <v>0.99039999999999995</v>
      </c>
      <c r="M192" s="11">
        <v>193.7678172603587</v>
      </c>
      <c r="N192" s="11">
        <v>930.48864133518396</v>
      </c>
      <c r="O192" s="13">
        <v>3.7827352085354024E-2</v>
      </c>
      <c r="P192" s="13">
        <v>0.25751697381183319</v>
      </c>
      <c r="Q192" s="13">
        <v>0.60669253152279334</v>
      </c>
      <c r="R192" s="13">
        <v>5.7953443258971879E-2</v>
      </c>
      <c r="S192" s="13"/>
      <c r="T192" s="13">
        <v>4.0009699321047532E-2</v>
      </c>
      <c r="U192" s="14" t="s">
        <v>230</v>
      </c>
      <c r="V192" s="15">
        <f>SUM(O192:T192)</f>
        <v>1</v>
      </c>
    </row>
    <row r="193" spans="2:22" ht="30" x14ac:dyDescent="0.25">
      <c r="B193" s="7">
        <v>2059</v>
      </c>
      <c r="C193" s="7" t="s">
        <v>119</v>
      </c>
      <c r="D193" s="8" t="s">
        <v>227</v>
      </c>
      <c r="E193" s="7"/>
      <c r="F193" s="7" t="s">
        <v>284</v>
      </c>
      <c r="G193" s="9" t="s">
        <v>229</v>
      </c>
      <c r="H193" s="10">
        <v>44942</v>
      </c>
      <c r="I193" s="11">
        <f>K193*L193</f>
        <v>0</v>
      </c>
      <c r="J193" s="11">
        <f>K193-I193</f>
        <v>0</v>
      </c>
      <c r="K193" s="11">
        <f>IFERROR(IF([1]!Tabla1[[#This Row],[POZO]]="",K192,VLOOKUP(C193,[2]Sheet1!$B$3:$E$1048576,2,FALSE)),0)</f>
        <v>0</v>
      </c>
      <c r="L193" s="12">
        <v>0.99039999999999995</v>
      </c>
      <c r="M193" s="11">
        <v>99.330502168088813</v>
      </c>
      <c r="N193" s="11">
        <v>387.92487358081547</v>
      </c>
      <c r="O193" s="13">
        <v>3.000968054211036E-2</v>
      </c>
      <c r="P193" s="13">
        <v>0.26544046466602134</v>
      </c>
      <c r="Q193" s="13">
        <v>0.38431752178121981</v>
      </c>
      <c r="R193" s="13">
        <v>0.17328170377541144</v>
      </c>
      <c r="S193" s="13"/>
      <c r="T193" s="13">
        <v>0.14695062923523716</v>
      </c>
      <c r="U193" s="14" t="s">
        <v>230</v>
      </c>
      <c r="V193" s="15">
        <f>SUM(O193:T193)</f>
        <v>1</v>
      </c>
    </row>
    <row r="194" spans="2:22" ht="30" x14ac:dyDescent="0.25">
      <c r="B194" s="7">
        <v>2052</v>
      </c>
      <c r="C194" s="7" t="s">
        <v>119</v>
      </c>
      <c r="D194" s="8" t="s">
        <v>227</v>
      </c>
      <c r="E194" s="7"/>
      <c r="F194" s="7" t="s">
        <v>284</v>
      </c>
      <c r="G194" s="9" t="s">
        <v>229</v>
      </c>
      <c r="H194" s="10">
        <v>44938</v>
      </c>
      <c r="I194" s="11">
        <f>K194*L194</f>
        <v>0</v>
      </c>
      <c r="J194" s="11">
        <f>K194-I194</f>
        <v>0</v>
      </c>
      <c r="K194" s="11">
        <f>IFERROR(IF([1]!Tabla1[[#This Row],[POZO]]="",K193,VLOOKUP(C194,[2]Sheet1!$B$3:$E$1048576,2,FALSE)),0)</f>
        <v>0</v>
      </c>
      <c r="L194" s="12">
        <v>0.99</v>
      </c>
      <c r="M194" s="11">
        <v>97.712304028505116</v>
      </c>
      <c r="N194" s="11">
        <v>178.14417856691941</v>
      </c>
      <c r="O194" s="13">
        <v>1.9904681805438747E-2</v>
      </c>
      <c r="P194" s="13">
        <v>0.27866554527614246</v>
      </c>
      <c r="Q194" s="13">
        <v>0.62279226240538266</v>
      </c>
      <c r="R194" s="13">
        <v>4.7799271096159238E-2</v>
      </c>
      <c r="S194" s="13"/>
      <c r="T194" s="13">
        <v>3.0838239416876929E-2</v>
      </c>
      <c r="U194" s="14" t="s">
        <v>230</v>
      </c>
      <c r="V194" s="15">
        <f>SUM(O194:T194)</f>
        <v>1</v>
      </c>
    </row>
    <row r="195" spans="2:22" x14ac:dyDescent="0.25">
      <c r="B195" s="7">
        <v>904</v>
      </c>
      <c r="C195" s="7" t="s">
        <v>120</v>
      </c>
      <c r="D195" s="8" t="s">
        <v>227</v>
      </c>
      <c r="E195" s="7"/>
      <c r="F195" s="7" t="s">
        <v>270</v>
      </c>
      <c r="G195" s="9" t="s">
        <v>229</v>
      </c>
      <c r="H195" s="10">
        <v>44271</v>
      </c>
      <c r="I195" s="11">
        <v>4065.7478400000005</v>
      </c>
      <c r="J195" s="11">
        <v>87.212159999999585</v>
      </c>
      <c r="K195" s="11">
        <v>4152.96</v>
      </c>
      <c r="L195" s="12">
        <v>0.97900000000000009</v>
      </c>
      <c r="M195" s="11">
        <v>233.86</v>
      </c>
      <c r="N195" s="11">
        <v>380.85</v>
      </c>
      <c r="O195" s="13">
        <v>0.42420000000000002</v>
      </c>
      <c r="P195" s="13"/>
      <c r="Q195" s="13">
        <v>0.45979999999999999</v>
      </c>
      <c r="R195" s="13"/>
      <c r="S195" s="13">
        <v>1.78E-2</v>
      </c>
      <c r="T195" s="13">
        <v>9.8199999999999996E-2</v>
      </c>
      <c r="U195" s="14" t="s">
        <v>230</v>
      </c>
      <c r="V195" s="15">
        <v>1</v>
      </c>
    </row>
    <row r="196" spans="2:22" ht="30" x14ac:dyDescent="0.25">
      <c r="B196" s="7">
        <v>614</v>
      </c>
      <c r="C196" s="7" t="s">
        <v>120</v>
      </c>
      <c r="D196" s="8" t="s">
        <v>227</v>
      </c>
      <c r="E196" s="7"/>
      <c r="F196" s="7" t="s">
        <v>270</v>
      </c>
      <c r="G196" s="9" t="s">
        <v>229</v>
      </c>
      <c r="H196" s="10">
        <v>44201</v>
      </c>
      <c r="I196" s="11">
        <v>4065.7478400000005</v>
      </c>
      <c r="J196" s="11">
        <v>87.212159999999585</v>
      </c>
      <c r="K196" s="11">
        <v>4152.96</v>
      </c>
      <c r="L196" s="12">
        <v>0.97900000000000009</v>
      </c>
      <c r="M196" s="11">
        <v>109.06</v>
      </c>
      <c r="N196" s="11">
        <v>109.79</v>
      </c>
      <c r="O196" s="13">
        <v>3.5000000000000003E-2</v>
      </c>
      <c r="P196" s="13"/>
      <c r="Q196" s="13">
        <v>0.2097</v>
      </c>
      <c r="R196" s="13"/>
      <c r="S196" s="13">
        <v>0.36609999999999998</v>
      </c>
      <c r="T196" s="13">
        <v>0.38929999999999998</v>
      </c>
      <c r="U196" s="14" t="s">
        <v>230</v>
      </c>
      <c r="V196" s="15">
        <v>1.0001</v>
      </c>
    </row>
    <row r="197" spans="2:22" ht="30" x14ac:dyDescent="0.25">
      <c r="B197" s="7">
        <v>1068</v>
      </c>
      <c r="C197" s="7" t="s">
        <v>121</v>
      </c>
      <c r="D197" s="8" t="s">
        <v>227</v>
      </c>
      <c r="E197" s="7"/>
      <c r="F197" s="7" t="s">
        <v>244</v>
      </c>
      <c r="G197" s="9" t="s">
        <v>229</v>
      </c>
      <c r="H197" s="10">
        <v>44316</v>
      </c>
      <c r="I197" s="11">
        <v>10097.914932</v>
      </c>
      <c r="J197" s="11">
        <v>46.665068000000247</v>
      </c>
      <c r="K197" s="11">
        <v>10144.58</v>
      </c>
      <c r="L197" s="12">
        <v>0.99540000000000006</v>
      </c>
      <c r="M197" s="11">
        <v>506.54</v>
      </c>
      <c r="N197" s="11">
        <v>840.87</v>
      </c>
      <c r="O197" s="13">
        <v>1.66E-2</v>
      </c>
      <c r="P197" s="13">
        <v>5.5800000000000002E-2</v>
      </c>
      <c r="Q197" s="13">
        <v>0.61699999999999999</v>
      </c>
      <c r="R197" s="13">
        <v>0.19009999999999999</v>
      </c>
      <c r="S197" s="13"/>
      <c r="T197" s="13">
        <v>0.1205</v>
      </c>
      <c r="U197" s="14" t="s">
        <v>230</v>
      </c>
      <c r="V197" s="15">
        <v>1</v>
      </c>
    </row>
    <row r="198" spans="2:22" ht="30" x14ac:dyDescent="0.25">
      <c r="B198" s="7">
        <v>648</v>
      </c>
      <c r="C198" s="7" t="s">
        <v>122</v>
      </c>
      <c r="D198" s="8" t="s">
        <v>227</v>
      </c>
      <c r="E198" s="7"/>
      <c r="F198" s="7" t="s">
        <v>289</v>
      </c>
      <c r="G198" s="9" t="s">
        <v>229</v>
      </c>
      <c r="H198" s="10">
        <v>44208</v>
      </c>
      <c r="I198" s="11">
        <v>1022.32322</v>
      </c>
      <c r="J198" s="11">
        <v>68.736779999999953</v>
      </c>
      <c r="K198" s="11">
        <v>1091.06</v>
      </c>
      <c r="L198" s="12">
        <v>0.93700000000000006</v>
      </c>
      <c r="M198" s="11">
        <v>156.96</v>
      </c>
      <c r="N198" s="11">
        <v>158.69</v>
      </c>
      <c r="O198" s="13">
        <v>6.2899999999999998E-2</v>
      </c>
      <c r="P198" s="13"/>
      <c r="Q198" s="13">
        <v>0.49640000000000001</v>
      </c>
      <c r="R198" s="13"/>
      <c r="S198" s="13">
        <v>0.27029999999999998</v>
      </c>
      <c r="T198" s="13">
        <v>0.17030000000000001</v>
      </c>
      <c r="U198" s="14" t="s">
        <v>247</v>
      </c>
      <c r="V198" s="15">
        <v>0.99990000000000001</v>
      </c>
    </row>
    <row r="199" spans="2:22" ht="30" x14ac:dyDescent="0.25">
      <c r="B199" s="7">
        <v>602</v>
      </c>
      <c r="C199" s="7" t="s">
        <v>122</v>
      </c>
      <c r="D199" s="8" t="s">
        <v>227</v>
      </c>
      <c r="E199" s="7"/>
      <c r="F199" s="7" t="s">
        <v>289</v>
      </c>
      <c r="G199" s="9" t="s">
        <v>229</v>
      </c>
      <c r="H199" s="10">
        <v>44196</v>
      </c>
      <c r="I199" s="11">
        <v>1022.32322</v>
      </c>
      <c r="J199" s="11">
        <v>68.736779999999953</v>
      </c>
      <c r="K199" s="11">
        <v>1091.06</v>
      </c>
      <c r="L199" s="12">
        <v>0.93700000000000006</v>
      </c>
      <c r="M199" s="11">
        <v>136.15</v>
      </c>
      <c r="N199" s="11">
        <v>1106.5</v>
      </c>
      <c r="O199" s="13">
        <v>0.17649999999999999</v>
      </c>
      <c r="P199" s="13"/>
      <c r="Q199" s="13">
        <v>0.4199</v>
      </c>
      <c r="R199" s="13"/>
      <c r="S199" s="13">
        <v>0.2838</v>
      </c>
      <c r="T199" s="13">
        <v>0.11990000000000001</v>
      </c>
      <c r="U199" s="14" t="s">
        <v>230</v>
      </c>
      <c r="V199" s="15">
        <v>1.0001000000000002</v>
      </c>
    </row>
    <row r="200" spans="2:22" ht="30" x14ac:dyDescent="0.25">
      <c r="B200" s="7">
        <v>309</v>
      </c>
      <c r="C200" s="7" t="s">
        <v>123</v>
      </c>
      <c r="D200" s="8" t="s">
        <v>227</v>
      </c>
      <c r="E200" s="7"/>
      <c r="F200" s="7" t="s">
        <v>240</v>
      </c>
      <c r="G200" s="9" t="s">
        <v>229</v>
      </c>
      <c r="H200" s="10">
        <v>44092</v>
      </c>
      <c r="I200" s="11">
        <v>10748.399949000001</v>
      </c>
      <c r="J200" s="11">
        <v>57.270050999999512</v>
      </c>
      <c r="K200" s="11">
        <v>10805.67</v>
      </c>
      <c r="L200" s="12">
        <v>0.99470000000000003</v>
      </c>
      <c r="M200" s="11">
        <v>111</v>
      </c>
      <c r="N200" s="11">
        <v>112.61</v>
      </c>
      <c r="O200" s="13">
        <v>1.23E-2</v>
      </c>
      <c r="P200" s="13"/>
      <c r="Q200" s="13">
        <v>5.3600000000000002E-2</v>
      </c>
      <c r="R200" s="13"/>
      <c r="S200" s="13">
        <v>0.2082</v>
      </c>
      <c r="T200" s="13">
        <v>0.72589999999999999</v>
      </c>
      <c r="U200" s="14" t="s">
        <v>247</v>
      </c>
      <c r="V200" s="15">
        <v>1</v>
      </c>
    </row>
    <row r="201" spans="2:22" ht="30" x14ac:dyDescent="0.25">
      <c r="B201" s="7">
        <v>814</v>
      </c>
      <c r="C201" s="7" t="s">
        <v>123</v>
      </c>
      <c r="D201" s="8" t="s">
        <v>227</v>
      </c>
      <c r="E201" s="7"/>
      <c r="F201" s="7" t="s">
        <v>240</v>
      </c>
      <c r="G201" s="9" t="s">
        <v>229</v>
      </c>
      <c r="H201" s="10">
        <v>44245</v>
      </c>
      <c r="I201" s="11">
        <v>10748.399949000001</v>
      </c>
      <c r="J201" s="11">
        <v>57.270050999999512</v>
      </c>
      <c r="K201" s="11">
        <v>10805.67</v>
      </c>
      <c r="L201" s="12">
        <v>0.99470000000000003</v>
      </c>
      <c r="M201" s="11">
        <v>102.22</v>
      </c>
      <c r="N201" s="11">
        <v>251.18</v>
      </c>
      <c r="O201" s="13">
        <v>2.8500000000000001E-2</v>
      </c>
      <c r="P201" s="13"/>
      <c r="Q201" s="13">
        <v>0.1696</v>
      </c>
      <c r="R201" s="13"/>
      <c r="S201" s="13">
        <v>0.43309999999999998</v>
      </c>
      <c r="T201" s="13">
        <v>0.36880000000000002</v>
      </c>
      <c r="U201" s="14" t="s">
        <v>247</v>
      </c>
      <c r="V201" s="15">
        <v>1</v>
      </c>
    </row>
    <row r="202" spans="2:22" ht="30" x14ac:dyDescent="0.25">
      <c r="B202" s="7">
        <v>918</v>
      </c>
      <c r="C202" s="7" t="s">
        <v>124</v>
      </c>
      <c r="D202" s="8" t="s">
        <v>227</v>
      </c>
      <c r="E202" s="7"/>
      <c r="F202" s="7" t="s">
        <v>267</v>
      </c>
      <c r="G202" s="9" t="s">
        <v>229</v>
      </c>
      <c r="H202" s="10">
        <v>44272</v>
      </c>
      <c r="I202" s="11">
        <v>7212.4</v>
      </c>
      <c r="J202" s="11">
        <v>87.600000000000364</v>
      </c>
      <c r="K202" s="11">
        <v>7300</v>
      </c>
      <c r="L202" s="12">
        <v>0.98799999999999999</v>
      </c>
      <c r="M202" s="11">
        <v>398.22</v>
      </c>
      <c r="N202" s="11">
        <v>1080.98</v>
      </c>
      <c r="O202" s="13">
        <v>0.1535</v>
      </c>
      <c r="P202" s="13"/>
      <c r="Q202" s="13">
        <v>0.24829999999999999</v>
      </c>
      <c r="R202" s="13"/>
      <c r="S202" s="13">
        <v>0.3916</v>
      </c>
      <c r="T202" s="13">
        <v>0.20649999999999999</v>
      </c>
      <c r="U202" s="14" t="s">
        <v>230</v>
      </c>
      <c r="V202" s="15">
        <v>0.99990000000000001</v>
      </c>
    </row>
    <row r="203" spans="2:22" ht="30" x14ac:dyDescent="0.25">
      <c r="B203" s="7">
        <v>124</v>
      </c>
      <c r="C203" s="7" t="s">
        <v>125</v>
      </c>
      <c r="D203" s="8" t="s">
        <v>227</v>
      </c>
      <c r="E203" s="7"/>
      <c r="F203" s="7" t="s">
        <v>261</v>
      </c>
      <c r="G203" s="9" t="s">
        <v>229</v>
      </c>
      <c r="H203" s="10">
        <v>44049</v>
      </c>
      <c r="I203" s="11">
        <v>707.92704000000015</v>
      </c>
      <c r="J203" s="11">
        <v>111.43295999999987</v>
      </c>
      <c r="K203" s="11">
        <v>819.36</v>
      </c>
      <c r="L203" s="12">
        <v>0.8640000000000001</v>
      </c>
      <c r="M203" s="11">
        <v>131.69999999999999</v>
      </c>
      <c r="N203" s="11">
        <v>134.63</v>
      </c>
      <c r="O203" s="13">
        <v>6.2899999999999998E-2</v>
      </c>
      <c r="P203" s="13"/>
      <c r="Q203" s="13">
        <v>0.19489999999999999</v>
      </c>
      <c r="R203" s="13"/>
      <c r="S203" s="13">
        <v>0.30790000000000001</v>
      </c>
      <c r="T203" s="13">
        <v>0.43430000000000002</v>
      </c>
      <c r="U203" s="14" t="s">
        <v>230</v>
      </c>
      <c r="V203" s="15">
        <v>1</v>
      </c>
    </row>
    <row r="204" spans="2:22" ht="30" x14ac:dyDescent="0.25">
      <c r="B204" s="7">
        <v>603</v>
      </c>
      <c r="C204" s="7" t="s">
        <v>126</v>
      </c>
      <c r="D204" s="8" t="s">
        <v>227</v>
      </c>
      <c r="E204" s="7"/>
      <c r="F204" s="7" t="s">
        <v>261</v>
      </c>
      <c r="G204" s="9" t="s">
        <v>229</v>
      </c>
      <c r="H204" s="10">
        <v>44196</v>
      </c>
      <c r="I204" s="11">
        <v>566.09280000000001</v>
      </c>
      <c r="J204" s="11">
        <v>159.66719999999998</v>
      </c>
      <c r="K204" s="11">
        <v>725.76</v>
      </c>
      <c r="L204" s="12">
        <v>0.78</v>
      </c>
      <c r="M204" s="11">
        <v>97.77</v>
      </c>
      <c r="N204" s="11">
        <v>232.49</v>
      </c>
      <c r="O204" s="13">
        <v>0.1036</v>
      </c>
      <c r="P204" s="13"/>
      <c r="Q204" s="13">
        <v>0.38169999999999998</v>
      </c>
      <c r="R204" s="13"/>
      <c r="S204" s="13">
        <v>0.36430000000000001</v>
      </c>
      <c r="T204" s="13">
        <v>0.15040000000000001</v>
      </c>
      <c r="U204" s="14" t="s">
        <v>230</v>
      </c>
      <c r="V204" s="15">
        <v>0.99999999999999989</v>
      </c>
    </row>
    <row r="205" spans="2:22" x14ac:dyDescent="0.25">
      <c r="B205" s="7">
        <v>1343</v>
      </c>
      <c r="C205" s="7" t="s">
        <v>127</v>
      </c>
      <c r="D205" s="8" t="s">
        <v>227</v>
      </c>
      <c r="E205" s="7"/>
      <c r="F205" s="7" t="s">
        <v>282</v>
      </c>
      <c r="G205" s="9" t="s">
        <v>229</v>
      </c>
      <c r="H205" s="10">
        <v>44524</v>
      </c>
      <c r="I205" s="11">
        <v>4911.6630999999998</v>
      </c>
      <c r="J205" s="11">
        <v>74.796900000000278</v>
      </c>
      <c r="K205" s="11">
        <v>4986.46</v>
      </c>
      <c r="L205" s="12">
        <v>0.98499999999999999</v>
      </c>
      <c r="M205" s="11">
        <v>84.5</v>
      </c>
      <c r="N205" s="11">
        <v>142.69</v>
      </c>
      <c r="O205" s="13">
        <v>6.6000000000000003E-2</v>
      </c>
      <c r="P205" s="13">
        <v>0.1424</v>
      </c>
      <c r="Q205" s="13">
        <v>0.41739999999999999</v>
      </c>
      <c r="R205" s="13">
        <v>0.27360000000000001</v>
      </c>
      <c r="S205" s="13"/>
      <c r="T205" s="13">
        <v>0.1007</v>
      </c>
      <c r="U205" s="14" t="s">
        <v>230</v>
      </c>
      <c r="V205" s="15">
        <v>1.0001</v>
      </c>
    </row>
    <row r="206" spans="2:22" ht="30" x14ac:dyDescent="0.25">
      <c r="B206" s="7">
        <v>290</v>
      </c>
      <c r="C206" s="7" t="s">
        <v>128</v>
      </c>
      <c r="D206" s="8" t="s">
        <v>254</v>
      </c>
      <c r="E206" s="7"/>
      <c r="F206" s="7" t="s">
        <v>255</v>
      </c>
      <c r="G206" s="9" t="s">
        <v>229</v>
      </c>
      <c r="H206" s="10">
        <v>44085</v>
      </c>
      <c r="I206" s="11">
        <v>8773.1351400000003</v>
      </c>
      <c r="J206" s="11">
        <v>61.844859999999244</v>
      </c>
      <c r="K206" s="11">
        <v>8834.98</v>
      </c>
      <c r="L206" s="12">
        <v>0.99299999999999999</v>
      </c>
      <c r="M206" s="11">
        <v>644.79</v>
      </c>
      <c r="N206" s="11">
        <v>665.1</v>
      </c>
      <c r="O206" s="13">
        <v>0.46729999999999999</v>
      </c>
      <c r="P206" s="13"/>
      <c r="Q206" s="13">
        <v>5.2499999999999998E-2</v>
      </c>
      <c r="R206" s="13"/>
      <c r="S206" s="13">
        <v>0.41860000000000003</v>
      </c>
      <c r="T206" s="13">
        <v>6.1699999999999998E-2</v>
      </c>
      <c r="U206" s="14" t="s">
        <v>230</v>
      </c>
      <c r="V206" s="15">
        <v>1.0001000000000002</v>
      </c>
    </row>
    <row r="207" spans="2:22" ht="30" x14ac:dyDescent="0.25">
      <c r="B207" s="7">
        <v>1055</v>
      </c>
      <c r="C207" s="7" t="s">
        <v>128</v>
      </c>
      <c r="D207" s="8" t="s">
        <v>227</v>
      </c>
      <c r="E207" s="7"/>
      <c r="F207" s="7" t="s">
        <v>255</v>
      </c>
      <c r="G207" s="9" t="s">
        <v>229</v>
      </c>
      <c r="H207" s="10">
        <v>44315</v>
      </c>
      <c r="I207" s="11">
        <v>8773.1351400000003</v>
      </c>
      <c r="J207" s="11">
        <v>61.844859999999244</v>
      </c>
      <c r="K207" s="11">
        <v>8834.98</v>
      </c>
      <c r="L207" s="12">
        <v>0.99299999999999999</v>
      </c>
      <c r="M207" s="11">
        <v>154.27000000000001</v>
      </c>
      <c r="N207" s="11">
        <v>188.19</v>
      </c>
      <c r="O207" s="13">
        <v>8.6599999999999996E-2</v>
      </c>
      <c r="P207" s="13">
        <v>0.1333</v>
      </c>
      <c r="Q207" s="13">
        <v>0.20619999999999999</v>
      </c>
      <c r="R207" s="13">
        <v>0.21529999999999999</v>
      </c>
      <c r="S207" s="13"/>
      <c r="T207" s="13">
        <v>0.35880000000000001</v>
      </c>
      <c r="U207" s="14" t="s">
        <v>230</v>
      </c>
      <c r="V207" s="15">
        <v>1.0002</v>
      </c>
    </row>
    <row r="208" spans="2:22" ht="30" x14ac:dyDescent="0.25">
      <c r="B208" s="7">
        <v>710</v>
      </c>
      <c r="C208" s="7" t="s">
        <v>128</v>
      </c>
      <c r="D208" s="8" t="s">
        <v>227</v>
      </c>
      <c r="E208" s="7"/>
      <c r="F208" s="7" t="s">
        <v>255</v>
      </c>
      <c r="G208" s="9" t="s">
        <v>229</v>
      </c>
      <c r="H208" s="10">
        <v>44223</v>
      </c>
      <c r="I208" s="11">
        <v>8773.1351400000003</v>
      </c>
      <c r="J208" s="11">
        <v>61.844859999999244</v>
      </c>
      <c r="K208" s="11">
        <v>8834.98</v>
      </c>
      <c r="L208" s="12">
        <v>0.99299999999999999</v>
      </c>
      <c r="M208" s="11">
        <v>100.56</v>
      </c>
      <c r="N208" s="11">
        <v>101.21</v>
      </c>
      <c r="O208" s="13">
        <v>0.31009999999999999</v>
      </c>
      <c r="P208" s="13"/>
      <c r="Q208" s="13">
        <v>0.2636</v>
      </c>
      <c r="R208" s="13"/>
      <c r="S208" s="13">
        <v>0.27660000000000001</v>
      </c>
      <c r="T208" s="13">
        <v>0.1497</v>
      </c>
      <c r="U208" s="14" t="s">
        <v>230</v>
      </c>
      <c r="V208" s="15">
        <v>1</v>
      </c>
    </row>
    <row r="209" spans="2:22" ht="30" x14ac:dyDescent="0.25">
      <c r="B209" s="7">
        <v>119</v>
      </c>
      <c r="C209" s="7" t="s">
        <v>129</v>
      </c>
      <c r="D209" s="8" t="s">
        <v>227</v>
      </c>
      <c r="E209" s="7"/>
      <c r="F209" s="7" t="s">
        <v>301</v>
      </c>
      <c r="G209" s="9" t="s">
        <v>229</v>
      </c>
      <c r="H209" s="10">
        <v>44048</v>
      </c>
      <c r="I209" s="11">
        <v>2643.85</v>
      </c>
      <c r="J209" s="11">
        <v>139.15000000000009</v>
      </c>
      <c r="K209" s="11">
        <v>2783</v>
      </c>
      <c r="L209" s="12">
        <v>0.95</v>
      </c>
      <c r="M209" s="11">
        <v>101.71</v>
      </c>
      <c r="N209" s="11">
        <v>111.42</v>
      </c>
      <c r="O209" s="13">
        <v>0.107</v>
      </c>
      <c r="P209" s="13"/>
      <c r="Q209" s="13">
        <v>0.23810000000000001</v>
      </c>
      <c r="R209" s="13"/>
      <c r="S209" s="13">
        <v>0.45040000000000002</v>
      </c>
      <c r="T209" s="13">
        <v>0.2044</v>
      </c>
      <c r="U209" s="14" t="s">
        <v>247</v>
      </c>
      <c r="V209" s="15">
        <v>0.99990000000000012</v>
      </c>
    </row>
    <row r="210" spans="2:22" ht="30" x14ac:dyDescent="0.25">
      <c r="B210" s="7">
        <v>2116</v>
      </c>
      <c r="C210" s="7" t="s">
        <v>130</v>
      </c>
      <c r="D210" s="8" t="s">
        <v>227</v>
      </c>
      <c r="E210" s="7"/>
      <c r="F210" s="7" t="s">
        <v>245</v>
      </c>
      <c r="G210" s="9" t="s">
        <v>229</v>
      </c>
      <c r="H210" s="10">
        <v>45030</v>
      </c>
      <c r="I210" s="11">
        <f>K210*L210</f>
        <v>1133.3804</v>
      </c>
      <c r="J210" s="11">
        <f>K210-I210</f>
        <v>17.259600000000091</v>
      </c>
      <c r="K210" s="11">
        <v>1150.6400000000001</v>
      </c>
      <c r="L210" s="12">
        <v>0.98499999999999999</v>
      </c>
      <c r="M210" s="11">
        <v>107.57526246509752</v>
      </c>
      <c r="N210" s="11">
        <v>224.28042517424055</v>
      </c>
      <c r="O210" s="13">
        <v>3.6582179252678338E-3</v>
      </c>
      <c r="P210" s="13">
        <v>0.58061144499608053</v>
      </c>
      <c r="Q210" s="13">
        <v>0.33133002351711521</v>
      </c>
      <c r="R210" s="13">
        <v>4.3376012542461463E-2</v>
      </c>
      <c r="S210" s="13"/>
      <c r="T210" s="13">
        <v>4.1024301019074991E-2</v>
      </c>
      <c r="U210" s="14" t="s">
        <v>230</v>
      </c>
      <c r="V210" s="15">
        <f>SUM(O210:T210)</f>
        <v>1.0000000000000002</v>
      </c>
    </row>
    <row r="211" spans="2:22" x14ac:dyDescent="0.25">
      <c r="B211" s="7">
        <v>840</v>
      </c>
      <c r="C211" s="7" t="s">
        <v>131</v>
      </c>
      <c r="D211" s="8" t="s">
        <v>227</v>
      </c>
      <c r="E211" s="7"/>
      <c r="F211" s="7" t="s">
        <v>243</v>
      </c>
      <c r="G211" s="9" t="s">
        <v>229</v>
      </c>
      <c r="H211" s="10">
        <v>44251</v>
      </c>
      <c r="I211" s="11">
        <v>9235.2406380000011</v>
      </c>
      <c r="J211" s="11">
        <v>73.539361999999528</v>
      </c>
      <c r="K211" s="11">
        <v>9308.7800000000007</v>
      </c>
      <c r="L211" s="12">
        <v>0.99209999999999998</v>
      </c>
      <c r="M211" s="11">
        <v>1359.75</v>
      </c>
      <c r="N211" s="11">
        <v>3388.64</v>
      </c>
      <c r="O211" s="13">
        <v>0.15479999999999999</v>
      </c>
      <c r="P211" s="13"/>
      <c r="Q211" s="13">
        <v>4.3099999999999999E-2</v>
      </c>
      <c r="R211" s="13"/>
      <c r="S211" s="13">
        <v>0.62050000000000005</v>
      </c>
      <c r="T211" s="13">
        <v>0.1817</v>
      </c>
      <c r="U211" s="14" t="s">
        <v>230</v>
      </c>
      <c r="V211" s="15">
        <v>1.0001</v>
      </c>
    </row>
    <row r="212" spans="2:22" ht="30" x14ac:dyDescent="0.25">
      <c r="B212" s="7">
        <v>1720</v>
      </c>
      <c r="C212" s="7" t="s">
        <v>131</v>
      </c>
      <c r="D212" s="8" t="s">
        <v>227</v>
      </c>
      <c r="E212" s="7"/>
      <c r="F212" s="7" t="s">
        <v>243</v>
      </c>
      <c r="G212" s="9" t="s">
        <v>229</v>
      </c>
      <c r="H212" s="10">
        <v>44782</v>
      </c>
      <c r="I212" s="11">
        <f>K212*L212</f>
        <v>8194.6074860000008</v>
      </c>
      <c r="J212" s="11">
        <f>K212-I212</f>
        <v>34.562513999999283</v>
      </c>
      <c r="K212" s="11">
        <v>8229.17</v>
      </c>
      <c r="L212" s="12">
        <v>0.99580000000000002</v>
      </c>
      <c r="M212" s="11">
        <v>86.86</v>
      </c>
      <c r="N212" s="11">
        <v>198.45</v>
      </c>
      <c r="O212" s="13">
        <v>6.13E-2</v>
      </c>
      <c r="P212" s="13">
        <v>0.14879999999999999</v>
      </c>
      <c r="Q212" s="13">
        <v>0.33339999999999997</v>
      </c>
      <c r="R212" s="13">
        <v>0.25890000000000002</v>
      </c>
      <c r="S212" s="13"/>
      <c r="T212" s="13">
        <v>0.1976</v>
      </c>
      <c r="U212" s="14" t="s">
        <v>230</v>
      </c>
      <c r="V212" s="15">
        <f>SUM(O212:T212)</f>
        <v>1</v>
      </c>
    </row>
    <row r="213" spans="2:22" x14ac:dyDescent="0.25">
      <c r="B213" s="7">
        <v>832</v>
      </c>
      <c r="C213" s="7" t="s">
        <v>132</v>
      </c>
      <c r="D213" s="8" t="s">
        <v>227</v>
      </c>
      <c r="E213" s="7"/>
      <c r="F213" s="7" t="s">
        <v>238</v>
      </c>
      <c r="G213" s="9" t="s">
        <v>229</v>
      </c>
      <c r="H213" s="10">
        <v>44249</v>
      </c>
      <c r="I213" s="11">
        <v>8404.127199999999</v>
      </c>
      <c r="J213" s="11">
        <v>171.51280000000042</v>
      </c>
      <c r="K213" s="11">
        <v>8575.64</v>
      </c>
      <c r="L213" s="12">
        <v>0.98</v>
      </c>
      <c r="M213" s="11">
        <v>106.39</v>
      </c>
      <c r="N213" s="11">
        <v>709.35</v>
      </c>
      <c r="O213" s="13">
        <v>0.38500000000000001</v>
      </c>
      <c r="P213" s="13"/>
      <c r="Q213" s="13">
        <v>0.21779999999999999</v>
      </c>
      <c r="R213" s="13"/>
      <c r="S213" s="13">
        <v>0.16900000000000001</v>
      </c>
      <c r="T213" s="13">
        <v>0.22819999999999999</v>
      </c>
      <c r="U213" s="14" t="s">
        <v>247</v>
      </c>
      <c r="V213" s="15">
        <v>1</v>
      </c>
    </row>
    <row r="214" spans="2:22" ht="30" x14ac:dyDescent="0.25">
      <c r="B214" s="7">
        <v>1713</v>
      </c>
      <c r="C214" s="7" t="s">
        <v>133</v>
      </c>
      <c r="D214" s="8" t="s">
        <v>227</v>
      </c>
      <c r="E214" s="7"/>
      <c r="F214" s="7" t="s">
        <v>237</v>
      </c>
      <c r="G214" s="9" t="s">
        <v>229</v>
      </c>
      <c r="H214" s="10">
        <v>44778</v>
      </c>
      <c r="I214" s="11">
        <f t="shared" ref="I214:I220" si="6">K214*L214</f>
        <v>3729.7231999999999</v>
      </c>
      <c r="J214" s="11">
        <f t="shared" ref="J214:J220" si="7">K214-I214</f>
        <v>76.116800000000239</v>
      </c>
      <c r="K214" s="11">
        <v>3805.84</v>
      </c>
      <c r="L214" s="12">
        <v>0.98</v>
      </c>
      <c r="M214" s="11">
        <v>2135.59</v>
      </c>
      <c r="N214" s="11">
        <v>2544.11</v>
      </c>
      <c r="O214" s="13">
        <v>9.4000000000000004E-3</v>
      </c>
      <c r="P214" s="13">
        <v>0.15090000000000001</v>
      </c>
      <c r="Q214" s="13">
        <v>0.2878</v>
      </c>
      <c r="R214" s="13">
        <v>0.42809999999999998</v>
      </c>
      <c r="S214" s="13"/>
      <c r="T214" s="13">
        <v>0.12379999999999999</v>
      </c>
      <c r="U214" s="14" t="s">
        <v>230</v>
      </c>
      <c r="V214" s="15">
        <f t="shared" ref="V214:V220" si="8">SUM(O214:T214)</f>
        <v>1</v>
      </c>
    </row>
    <row r="215" spans="2:22" x14ac:dyDescent="0.25">
      <c r="B215" s="7">
        <v>2075</v>
      </c>
      <c r="C215" s="7" t="s">
        <v>133</v>
      </c>
      <c r="D215" s="8" t="s">
        <v>227</v>
      </c>
      <c r="E215" s="7"/>
      <c r="F215" s="7" t="s">
        <v>237</v>
      </c>
      <c r="G215" s="9" t="s">
        <v>229</v>
      </c>
      <c r="H215" s="10">
        <v>44946</v>
      </c>
      <c r="I215" s="11">
        <f t="shared" si="6"/>
        <v>0</v>
      </c>
      <c r="J215" s="11">
        <f t="shared" si="7"/>
        <v>0</v>
      </c>
      <c r="K215" s="11">
        <f>IFERROR(IF([1]!Tabla1[[#This Row],[POZO]]="",K214,VLOOKUP(C215,[2]Sheet1!$B$3:$E$1048576,2,FALSE)),0)</f>
        <v>0</v>
      </c>
      <c r="L215" s="12">
        <v>0.98550000000000004</v>
      </c>
      <c r="M215" s="11">
        <v>1358.5001483440913</v>
      </c>
      <c r="N215" s="11">
        <v>6178.6299155892175</v>
      </c>
      <c r="O215" s="13">
        <v>8.7939985819820224E-3</v>
      </c>
      <c r="P215" s="13">
        <v>6.2781602360313798E-2</v>
      </c>
      <c r="Q215" s="13">
        <v>0.19624682661299545</v>
      </c>
      <c r="R215" s="13">
        <v>0.55476522653980742</v>
      </c>
      <c r="S215" s="13"/>
      <c r="T215" s="13">
        <v>0.17741234590490129</v>
      </c>
      <c r="U215" s="14" t="s">
        <v>230</v>
      </c>
      <c r="V215" s="15">
        <f t="shared" si="8"/>
        <v>1</v>
      </c>
    </row>
    <row r="216" spans="2:22" ht="30" x14ac:dyDescent="0.25">
      <c r="B216" s="7">
        <v>1724</v>
      </c>
      <c r="C216" s="7" t="s">
        <v>133</v>
      </c>
      <c r="D216" s="8" t="s">
        <v>227</v>
      </c>
      <c r="E216" s="7"/>
      <c r="F216" s="7" t="s">
        <v>237</v>
      </c>
      <c r="G216" s="9" t="s">
        <v>229</v>
      </c>
      <c r="H216" s="10">
        <v>44789</v>
      </c>
      <c r="I216" s="11">
        <f t="shared" si="6"/>
        <v>3729.7231999999999</v>
      </c>
      <c r="J216" s="11">
        <f t="shared" si="7"/>
        <v>76.116800000000239</v>
      </c>
      <c r="K216" s="11">
        <v>3805.84</v>
      </c>
      <c r="L216" s="12">
        <v>0.98</v>
      </c>
      <c r="M216" s="11">
        <v>356.13</v>
      </c>
      <c r="N216" s="11">
        <v>3959.05</v>
      </c>
      <c r="O216" s="13">
        <v>1.32E-2</v>
      </c>
      <c r="P216" s="13">
        <v>9.06E-2</v>
      </c>
      <c r="Q216" s="13">
        <v>0.28570000000000001</v>
      </c>
      <c r="R216" s="13">
        <v>0.41839999999999999</v>
      </c>
      <c r="S216" s="13"/>
      <c r="T216" s="13">
        <v>0.19209999999999999</v>
      </c>
      <c r="U216" s="14" t="s">
        <v>230</v>
      </c>
      <c r="V216" s="15">
        <f t="shared" si="8"/>
        <v>1</v>
      </c>
    </row>
    <row r="217" spans="2:22" ht="30" x14ac:dyDescent="0.25">
      <c r="B217" s="7">
        <v>1738</v>
      </c>
      <c r="C217" s="7" t="s">
        <v>133</v>
      </c>
      <c r="D217" s="8" t="s">
        <v>227</v>
      </c>
      <c r="E217" s="7"/>
      <c r="F217" s="7" t="s">
        <v>237</v>
      </c>
      <c r="G217" s="9" t="s">
        <v>229</v>
      </c>
      <c r="H217" s="10">
        <v>44797</v>
      </c>
      <c r="I217" s="11">
        <f t="shared" si="6"/>
        <v>3729.7231999999999</v>
      </c>
      <c r="J217" s="11">
        <f t="shared" si="7"/>
        <v>76.116800000000239</v>
      </c>
      <c r="K217" s="11">
        <v>3805.84</v>
      </c>
      <c r="L217" s="12">
        <v>0.98</v>
      </c>
      <c r="M217" s="11">
        <v>266.20999999999998</v>
      </c>
      <c r="N217" s="11">
        <v>863</v>
      </c>
      <c r="O217" s="13">
        <v>1.03E-2</v>
      </c>
      <c r="P217" s="13">
        <v>0.1042</v>
      </c>
      <c r="Q217" s="13">
        <v>0.3498</v>
      </c>
      <c r="R217" s="13">
        <v>0.40229999999999999</v>
      </c>
      <c r="S217" s="13"/>
      <c r="T217" s="13">
        <v>0.13350000000000001</v>
      </c>
      <c r="U217" s="14" t="s">
        <v>230</v>
      </c>
      <c r="V217" s="15">
        <f t="shared" si="8"/>
        <v>1.0001</v>
      </c>
    </row>
    <row r="218" spans="2:22" ht="30" x14ac:dyDescent="0.25">
      <c r="B218" s="7">
        <v>1727</v>
      </c>
      <c r="C218" s="7" t="s">
        <v>133</v>
      </c>
      <c r="D218" s="8" t="s">
        <v>227</v>
      </c>
      <c r="E218" s="7"/>
      <c r="F218" s="7" t="s">
        <v>237</v>
      </c>
      <c r="G218" s="9" t="s">
        <v>229</v>
      </c>
      <c r="H218" s="10">
        <v>44790</v>
      </c>
      <c r="I218" s="11">
        <f t="shared" si="6"/>
        <v>3729.7231999999999</v>
      </c>
      <c r="J218" s="11">
        <f t="shared" si="7"/>
        <v>76.116800000000239</v>
      </c>
      <c r="K218" s="11">
        <v>3805.84</v>
      </c>
      <c r="L218" s="12">
        <v>0.98</v>
      </c>
      <c r="M218" s="11">
        <v>175.52</v>
      </c>
      <c r="N218" s="11">
        <v>455.52</v>
      </c>
      <c r="O218" s="13">
        <v>1.2200000000000001E-2</v>
      </c>
      <c r="P218" s="13">
        <v>0.10879999999999999</v>
      </c>
      <c r="Q218" s="13">
        <v>0.31080000000000002</v>
      </c>
      <c r="R218" s="13">
        <v>0.41870000000000002</v>
      </c>
      <c r="S218" s="13"/>
      <c r="T218" s="13">
        <v>0.14949999999999999</v>
      </c>
      <c r="U218" s="14" t="s">
        <v>230</v>
      </c>
      <c r="V218" s="15">
        <f t="shared" si="8"/>
        <v>1</v>
      </c>
    </row>
    <row r="219" spans="2:22" ht="30" x14ac:dyDescent="0.25">
      <c r="B219" s="7">
        <v>1736</v>
      </c>
      <c r="C219" s="7" t="s">
        <v>133</v>
      </c>
      <c r="D219" s="8" t="s">
        <v>227</v>
      </c>
      <c r="E219" s="7"/>
      <c r="F219" s="7" t="s">
        <v>237</v>
      </c>
      <c r="G219" s="9" t="s">
        <v>229</v>
      </c>
      <c r="H219" s="10">
        <v>44796</v>
      </c>
      <c r="I219" s="11">
        <f t="shared" si="6"/>
        <v>3729.7231999999999</v>
      </c>
      <c r="J219" s="11">
        <f t="shared" si="7"/>
        <v>76.116800000000239</v>
      </c>
      <c r="K219" s="11">
        <v>3805.84</v>
      </c>
      <c r="L219" s="12">
        <v>0.98</v>
      </c>
      <c r="M219" s="11">
        <v>89.97</v>
      </c>
      <c r="N219" s="11">
        <v>221.86</v>
      </c>
      <c r="O219" s="13">
        <v>2.5399999999999999E-2</v>
      </c>
      <c r="P219" s="13">
        <v>0.26329999999999998</v>
      </c>
      <c r="Q219" s="13">
        <v>0.50919999999999999</v>
      </c>
      <c r="R219" s="13">
        <v>0.16900000000000001</v>
      </c>
      <c r="S219" s="13"/>
      <c r="T219" s="13">
        <v>3.3099999999999997E-2</v>
      </c>
      <c r="U219" s="14" t="s">
        <v>230</v>
      </c>
      <c r="V219" s="15">
        <f t="shared" si="8"/>
        <v>1</v>
      </c>
    </row>
    <row r="220" spans="2:22" ht="30" x14ac:dyDescent="0.25">
      <c r="B220" s="7">
        <v>1575</v>
      </c>
      <c r="C220" s="7" t="s">
        <v>134</v>
      </c>
      <c r="D220" s="8" t="s">
        <v>227</v>
      </c>
      <c r="E220" s="7"/>
      <c r="F220" s="7" t="s">
        <v>279</v>
      </c>
      <c r="G220" s="9" t="s">
        <v>229</v>
      </c>
      <c r="H220" s="10">
        <v>44712</v>
      </c>
      <c r="I220" s="11">
        <f t="shared" si="6"/>
        <v>626.12299999999993</v>
      </c>
      <c r="J220" s="11">
        <f t="shared" si="7"/>
        <v>101.92700000000002</v>
      </c>
      <c r="K220" s="11">
        <v>728.05</v>
      </c>
      <c r="L220" s="12">
        <v>0.86</v>
      </c>
      <c r="M220" s="11">
        <v>220.48</v>
      </c>
      <c r="N220" s="11">
        <v>401.45</v>
      </c>
      <c r="O220" s="13">
        <v>0.1119</v>
      </c>
      <c r="P220" s="13">
        <v>0.1958</v>
      </c>
      <c r="Q220" s="13">
        <v>0.34689999999999999</v>
      </c>
      <c r="R220" s="13">
        <v>0.18179999999999999</v>
      </c>
      <c r="S220" s="13"/>
      <c r="T220" s="13">
        <v>0.1636</v>
      </c>
      <c r="U220" s="14" t="s">
        <v>230</v>
      </c>
      <c r="V220" s="15">
        <f t="shared" si="8"/>
        <v>0.99999999999999989</v>
      </c>
    </row>
    <row r="221" spans="2:22" x14ac:dyDescent="0.25">
      <c r="B221" s="7">
        <v>725</v>
      </c>
      <c r="C221" s="7" t="s">
        <v>135</v>
      </c>
      <c r="D221" s="8" t="s">
        <v>227</v>
      </c>
      <c r="E221" s="7"/>
      <c r="F221" s="7" t="s">
        <v>237</v>
      </c>
      <c r="G221" s="9" t="s">
        <v>229</v>
      </c>
      <c r="H221" s="10">
        <v>44225</v>
      </c>
      <c r="I221" s="11">
        <v>205.38606000000001</v>
      </c>
      <c r="J221" s="11">
        <v>11.723939999999999</v>
      </c>
      <c r="K221" s="11">
        <v>217.11</v>
      </c>
      <c r="L221" s="12">
        <v>0.94599999999999995</v>
      </c>
      <c r="M221" s="11">
        <v>92.61</v>
      </c>
      <c r="N221" s="11">
        <v>172.14</v>
      </c>
      <c r="O221" s="13">
        <v>0.1903</v>
      </c>
      <c r="P221" s="13"/>
      <c r="Q221" s="13">
        <v>0.30780000000000002</v>
      </c>
      <c r="R221" s="13"/>
      <c r="S221" s="13">
        <v>0.31900000000000001</v>
      </c>
      <c r="T221" s="13">
        <v>0.18279999999999999</v>
      </c>
      <c r="U221" s="14" t="s">
        <v>230</v>
      </c>
      <c r="V221" s="15">
        <v>0.9998999999999999</v>
      </c>
    </row>
    <row r="222" spans="2:22" ht="30" x14ac:dyDescent="0.25">
      <c r="B222" s="18">
        <v>291</v>
      </c>
      <c r="C222" s="18" t="s">
        <v>136</v>
      </c>
      <c r="D222" s="19" t="s">
        <v>227</v>
      </c>
      <c r="E222" s="18"/>
      <c r="F222" s="7" t="s">
        <v>237</v>
      </c>
      <c r="G222" s="9" t="s">
        <v>229</v>
      </c>
      <c r="H222" s="20">
        <v>44085</v>
      </c>
      <c r="I222" s="21">
        <v>1710</v>
      </c>
      <c r="J222" s="21">
        <v>90</v>
      </c>
      <c r="K222" s="11">
        <v>1800</v>
      </c>
      <c r="L222" s="12">
        <v>0.95</v>
      </c>
      <c r="M222" s="21">
        <v>480.19</v>
      </c>
      <c r="N222" s="21">
        <v>482.24</v>
      </c>
      <c r="O222" s="22">
        <v>0.1736</v>
      </c>
      <c r="P222" s="22"/>
      <c r="Q222" s="22">
        <v>0.71909999999999996</v>
      </c>
      <c r="R222" s="22"/>
      <c r="S222" s="22">
        <v>8.2799999999999999E-2</v>
      </c>
      <c r="T222" s="22">
        <v>2.47E-2</v>
      </c>
      <c r="U222" s="23" t="s">
        <v>230</v>
      </c>
      <c r="V222" s="15">
        <v>1.0002</v>
      </c>
    </row>
    <row r="223" spans="2:22" x14ac:dyDescent="0.25">
      <c r="B223" s="7">
        <v>796</v>
      </c>
      <c r="C223" s="7" t="s">
        <v>136</v>
      </c>
      <c r="D223" s="8" t="s">
        <v>227</v>
      </c>
      <c r="E223" s="7"/>
      <c r="F223" s="7" t="s">
        <v>237</v>
      </c>
      <c r="G223" s="9" t="s">
        <v>229</v>
      </c>
      <c r="H223" s="10">
        <v>44243</v>
      </c>
      <c r="I223" s="11">
        <v>1710</v>
      </c>
      <c r="J223" s="11">
        <v>90</v>
      </c>
      <c r="K223" s="11">
        <v>1800</v>
      </c>
      <c r="L223" s="12">
        <v>0.95</v>
      </c>
      <c r="M223" s="11">
        <v>96.74</v>
      </c>
      <c r="N223" s="11">
        <v>219.13</v>
      </c>
      <c r="O223" s="13">
        <v>4.2900000000000001E-2</v>
      </c>
      <c r="P223" s="13"/>
      <c r="Q223" s="13">
        <v>0.14050000000000001</v>
      </c>
      <c r="R223" s="13"/>
      <c r="S223" s="13">
        <v>0.55089999999999995</v>
      </c>
      <c r="T223" s="13">
        <v>0.2656</v>
      </c>
      <c r="U223" s="14" t="s">
        <v>230</v>
      </c>
      <c r="V223" s="15">
        <v>0.99990000000000001</v>
      </c>
    </row>
    <row r="224" spans="2:22" x14ac:dyDescent="0.25">
      <c r="B224" s="7">
        <v>638</v>
      </c>
      <c r="C224" s="7" t="s">
        <v>137</v>
      </c>
      <c r="D224" s="8" t="s">
        <v>227</v>
      </c>
      <c r="E224" s="7"/>
      <c r="F224" s="7" t="s">
        <v>267</v>
      </c>
      <c r="G224" s="9" t="s">
        <v>229</v>
      </c>
      <c r="H224" s="10">
        <v>44204</v>
      </c>
      <c r="I224" s="11">
        <v>11064.628339999999</v>
      </c>
      <c r="J224" s="11">
        <v>191.35166000000027</v>
      </c>
      <c r="K224" s="11">
        <v>11255.98</v>
      </c>
      <c r="L224" s="12">
        <v>0.98299999999999998</v>
      </c>
      <c r="M224" s="11">
        <v>80.44</v>
      </c>
      <c r="N224" s="11">
        <v>81.92</v>
      </c>
      <c r="O224" s="13">
        <v>3.2399999999999998E-2</v>
      </c>
      <c r="P224" s="13"/>
      <c r="Q224" s="13">
        <v>0.1769</v>
      </c>
      <c r="R224" s="13"/>
      <c r="S224" s="13">
        <v>0.30980000000000002</v>
      </c>
      <c r="T224" s="13">
        <v>0.48089999999999999</v>
      </c>
      <c r="U224" s="14" t="s">
        <v>230</v>
      </c>
      <c r="V224" s="15">
        <v>1</v>
      </c>
    </row>
    <row r="225" spans="2:22" ht="30" x14ac:dyDescent="0.25">
      <c r="B225" s="7">
        <v>731</v>
      </c>
      <c r="C225" s="7" t="s">
        <v>138</v>
      </c>
      <c r="D225" s="8" t="s">
        <v>227</v>
      </c>
      <c r="E225" s="7"/>
      <c r="F225" s="7" t="s">
        <v>274</v>
      </c>
      <c r="G225" s="9" t="s">
        <v>229</v>
      </c>
      <c r="H225" s="10">
        <v>44225</v>
      </c>
      <c r="I225" s="11">
        <v>1092</v>
      </c>
      <c r="J225" s="11">
        <v>108</v>
      </c>
      <c r="K225" s="11">
        <v>1200</v>
      </c>
      <c r="L225" s="12">
        <v>0.91</v>
      </c>
      <c r="M225" s="11">
        <v>357.7</v>
      </c>
      <c r="N225" s="11">
        <v>539.12</v>
      </c>
      <c r="O225" s="13">
        <v>0.1479</v>
      </c>
      <c r="P225" s="13"/>
      <c r="Q225" s="13">
        <v>0.2422</v>
      </c>
      <c r="R225" s="13"/>
      <c r="S225" s="13">
        <v>0.31830000000000003</v>
      </c>
      <c r="T225" s="13">
        <v>0.29149999999999998</v>
      </c>
      <c r="U225" s="14" t="s">
        <v>247</v>
      </c>
      <c r="V225" s="15">
        <v>0.99990000000000001</v>
      </c>
    </row>
    <row r="226" spans="2:22" ht="30" x14ac:dyDescent="0.25">
      <c r="B226" s="7">
        <v>1217</v>
      </c>
      <c r="C226" s="7" t="s">
        <v>139</v>
      </c>
      <c r="D226" s="8" t="s">
        <v>227</v>
      </c>
      <c r="E226" s="7"/>
      <c r="F226" s="7" t="s">
        <v>234</v>
      </c>
      <c r="G226" s="9" t="s">
        <v>229</v>
      </c>
      <c r="H226" s="10">
        <v>44426</v>
      </c>
      <c r="I226" s="11">
        <v>3699.2985499999995</v>
      </c>
      <c r="J226" s="11">
        <v>134.17145000000028</v>
      </c>
      <c r="K226" s="11">
        <v>3833.47</v>
      </c>
      <c r="L226" s="12">
        <v>0.96499999999999997</v>
      </c>
      <c r="M226" s="11">
        <v>204</v>
      </c>
      <c r="N226" s="11">
        <v>1151.77</v>
      </c>
      <c r="O226" s="13">
        <v>9.0200000000000002E-2</v>
      </c>
      <c r="P226" s="13">
        <v>0.12590000000000001</v>
      </c>
      <c r="Q226" s="13">
        <v>0.61129999999999995</v>
      </c>
      <c r="R226" s="13">
        <v>0.1275</v>
      </c>
      <c r="S226" s="13"/>
      <c r="T226" s="13">
        <v>4.5100000000000001E-2</v>
      </c>
      <c r="U226" s="14" t="s">
        <v>230</v>
      </c>
      <c r="V226" s="15">
        <v>0.99999999999999989</v>
      </c>
    </row>
    <row r="227" spans="2:22" ht="30" x14ac:dyDescent="0.25">
      <c r="B227" s="7">
        <v>525</v>
      </c>
      <c r="C227" s="7" t="s">
        <v>139</v>
      </c>
      <c r="D227" s="8" t="s">
        <v>227</v>
      </c>
      <c r="E227" s="7"/>
      <c r="F227" s="7" t="s">
        <v>234</v>
      </c>
      <c r="G227" s="9" t="s">
        <v>229</v>
      </c>
      <c r="H227" s="10">
        <v>44179</v>
      </c>
      <c r="I227" s="11">
        <v>3699.2985499999995</v>
      </c>
      <c r="J227" s="11">
        <v>134.17145000000028</v>
      </c>
      <c r="K227" s="11">
        <v>3833.47</v>
      </c>
      <c r="L227" s="12">
        <v>0.96499999999999997</v>
      </c>
      <c r="M227" s="11">
        <v>113.41</v>
      </c>
      <c r="N227" s="11">
        <v>172.27</v>
      </c>
      <c r="O227" s="13">
        <v>0.33860000000000001</v>
      </c>
      <c r="P227" s="13"/>
      <c r="Q227" s="13">
        <v>0.30840000000000001</v>
      </c>
      <c r="R227" s="13"/>
      <c r="S227" s="13">
        <v>0.2054</v>
      </c>
      <c r="T227" s="13">
        <v>0.14760000000000001</v>
      </c>
      <c r="U227" s="14" t="s">
        <v>230</v>
      </c>
      <c r="V227" s="15">
        <v>1</v>
      </c>
    </row>
    <row r="228" spans="2:22" ht="30" x14ac:dyDescent="0.25">
      <c r="B228" s="7">
        <v>935</v>
      </c>
      <c r="C228" s="7" t="s">
        <v>140</v>
      </c>
      <c r="D228" s="8" t="s">
        <v>227</v>
      </c>
      <c r="E228" s="7"/>
      <c r="F228" s="7" t="s">
        <v>240</v>
      </c>
      <c r="G228" s="9" t="s">
        <v>229</v>
      </c>
      <c r="H228" s="10">
        <v>44281</v>
      </c>
      <c r="I228" s="11">
        <v>2581.6125600000005</v>
      </c>
      <c r="J228" s="11">
        <v>41.97743999999966</v>
      </c>
      <c r="K228" s="11">
        <v>2623.59</v>
      </c>
      <c r="L228" s="12">
        <v>0.9840000000000001</v>
      </c>
      <c r="M228" s="11">
        <v>887.58</v>
      </c>
      <c r="N228" s="11">
        <v>2576.65</v>
      </c>
      <c r="O228" s="13">
        <v>7.4999999999999997E-3</v>
      </c>
      <c r="P228" s="13">
        <v>7.1999999999999995E-2</v>
      </c>
      <c r="Q228" s="13">
        <v>0.28179999999999999</v>
      </c>
      <c r="R228" s="13">
        <v>0.32140000000000002</v>
      </c>
      <c r="S228" s="13"/>
      <c r="T228" s="13">
        <v>0.31719999999999998</v>
      </c>
      <c r="U228" s="14" t="s">
        <v>230</v>
      </c>
      <c r="V228" s="15">
        <v>0.99990000000000001</v>
      </c>
    </row>
    <row r="229" spans="2:22" ht="30" x14ac:dyDescent="0.25">
      <c r="B229" s="7">
        <v>1631</v>
      </c>
      <c r="C229" s="7" t="s">
        <v>140</v>
      </c>
      <c r="D229" s="8" t="s">
        <v>227</v>
      </c>
      <c r="E229" s="7"/>
      <c r="F229" s="7" t="s">
        <v>240</v>
      </c>
      <c r="G229" s="9" t="s">
        <v>229</v>
      </c>
      <c r="H229" s="10">
        <v>44741</v>
      </c>
      <c r="I229" s="11">
        <f>K229*L229</f>
        <v>5726.88</v>
      </c>
      <c r="J229" s="11">
        <f>K229-I229</f>
        <v>93.119999999999891</v>
      </c>
      <c r="K229" s="11">
        <v>5820</v>
      </c>
      <c r="L229" s="12">
        <v>0.9840000000000001</v>
      </c>
      <c r="M229" s="11">
        <v>101.94</v>
      </c>
      <c r="N229" s="11">
        <v>170.38</v>
      </c>
      <c r="O229" s="13">
        <v>0.14380000000000001</v>
      </c>
      <c r="P229" s="13">
        <v>0.26590000000000003</v>
      </c>
      <c r="Q229" s="13">
        <v>0.34739999999999999</v>
      </c>
      <c r="R229" s="13">
        <v>0.1411</v>
      </c>
      <c r="S229" s="13"/>
      <c r="T229" s="13">
        <v>0.1018</v>
      </c>
      <c r="U229" s="14" t="s">
        <v>230</v>
      </c>
      <c r="V229" s="15">
        <f>SUM(O229:T229)</f>
        <v>1</v>
      </c>
    </row>
    <row r="230" spans="2:22" ht="30" x14ac:dyDescent="0.25">
      <c r="B230" s="7">
        <v>549</v>
      </c>
      <c r="C230" s="7" t="s">
        <v>141</v>
      </c>
      <c r="D230" s="8" t="s">
        <v>227</v>
      </c>
      <c r="E230" s="7"/>
      <c r="F230" s="7" t="s">
        <v>305</v>
      </c>
      <c r="G230" s="9" t="s">
        <v>229</v>
      </c>
      <c r="H230" s="10">
        <v>44182</v>
      </c>
      <c r="I230" s="11">
        <v>1029</v>
      </c>
      <c r="J230" s="11">
        <v>21</v>
      </c>
      <c r="K230" s="11">
        <v>1050</v>
      </c>
      <c r="L230" s="12">
        <v>0.98</v>
      </c>
      <c r="M230" s="11">
        <v>88.97</v>
      </c>
      <c r="N230" s="11">
        <v>95.96</v>
      </c>
      <c r="O230" s="13">
        <v>0.15870000000000001</v>
      </c>
      <c r="P230" s="13"/>
      <c r="Q230" s="13">
        <v>0.65239999999999998</v>
      </c>
      <c r="R230" s="13"/>
      <c r="S230" s="13">
        <v>0.16439999999999999</v>
      </c>
      <c r="T230" s="13">
        <v>2.4400000000000002E-2</v>
      </c>
      <c r="U230" s="14" t="s">
        <v>230</v>
      </c>
      <c r="V230" s="15">
        <v>0.9998999999999999</v>
      </c>
    </row>
    <row r="231" spans="2:22" ht="30" x14ac:dyDescent="0.25">
      <c r="B231" s="7">
        <v>898</v>
      </c>
      <c r="C231" s="7" t="s">
        <v>142</v>
      </c>
      <c r="D231" s="8" t="s">
        <v>227</v>
      </c>
      <c r="E231" s="7"/>
      <c r="F231" s="7" t="s">
        <v>236</v>
      </c>
      <c r="G231" s="9" t="s">
        <v>229</v>
      </c>
      <c r="H231" s="10">
        <v>44260</v>
      </c>
      <c r="I231" s="11">
        <v>2366.7494399999996</v>
      </c>
      <c r="J231" s="11">
        <v>40.930560000000241</v>
      </c>
      <c r="K231" s="11">
        <v>2407.6799999999998</v>
      </c>
      <c r="L231" s="12">
        <v>0.98299999999999998</v>
      </c>
      <c r="M231" s="11">
        <v>2907.55</v>
      </c>
      <c r="N231" s="11">
        <v>5370.84</v>
      </c>
      <c r="O231" s="13">
        <v>0.1338</v>
      </c>
      <c r="P231" s="13"/>
      <c r="Q231" s="13">
        <v>0.76600000000000001</v>
      </c>
      <c r="R231" s="13"/>
      <c r="S231" s="13">
        <v>7.8299999999999995E-2</v>
      </c>
      <c r="T231" s="13">
        <v>2.18E-2</v>
      </c>
      <c r="U231" s="14" t="s">
        <v>230</v>
      </c>
      <c r="V231" s="15">
        <v>0.99990000000000012</v>
      </c>
    </row>
    <row r="232" spans="2:22" ht="30" x14ac:dyDescent="0.25">
      <c r="B232" s="7">
        <v>149</v>
      </c>
      <c r="C232" s="7" t="s">
        <v>142</v>
      </c>
      <c r="D232" s="8" t="s">
        <v>227</v>
      </c>
      <c r="E232" s="7"/>
      <c r="F232" s="7" t="s">
        <v>236</v>
      </c>
      <c r="G232" s="9" t="s">
        <v>229</v>
      </c>
      <c r="H232" s="10">
        <v>44054</v>
      </c>
      <c r="I232" s="11">
        <v>2366.7494399999996</v>
      </c>
      <c r="J232" s="11">
        <v>40.930560000000241</v>
      </c>
      <c r="K232" s="11">
        <v>2407.6799999999998</v>
      </c>
      <c r="L232" s="12">
        <v>0.98299999999999998</v>
      </c>
      <c r="M232" s="11">
        <v>152.69</v>
      </c>
      <c r="N232" s="11">
        <v>153.01</v>
      </c>
      <c r="O232" s="13">
        <v>0.32340000000000002</v>
      </c>
      <c r="P232" s="13"/>
      <c r="Q232" s="13">
        <v>0.58919999999999995</v>
      </c>
      <c r="R232" s="13"/>
      <c r="S232" s="13">
        <v>7.5999999999999998E-2</v>
      </c>
      <c r="T232" s="13">
        <v>1.14E-2</v>
      </c>
      <c r="U232" s="14" t="s">
        <v>247</v>
      </c>
      <c r="V232" s="15">
        <v>0.99999999999999989</v>
      </c>
    </row>
    <row r="233" spans="2:22" ht="30" x14ac:dyDescent="0.25">
      <c r="B233" s="7">
        <v>2186</v>
      </c>
      <c r="C233" s="7" t="s">
        <v>142</v>
      </c>
      <c r="D233" s="8" t="s">
        <v>227</v>
      </c>
      <c r="E233" s="7"/>
      <c r="F233" s="7" t="s">
        <v>236</v>
      </c>
      <c r="G233" s="9" t="s">
        <v>229</v>
      </c>
      <c r="H233" s="10">
        <v>45059</v>
      </c>
      <c r="I233" s="11">
        <f>K233*L233</f>
        <v>0</v>
      </c>
      <c r="J233" s="11">
        <f>K233-I233</f>
        <v>0</v>
      </c>
      <c r="K233" s="11">
        <f>IFERROR(IF([1]!Tabla1[[#This Row],[POZO]]="",K230,VLOOKUP(C233,[2]Sheet1!$B$3:$E$1048576,2,FALSE)),0)</f>
        <v>0</v>
      </c>
      <c r="L233" s="12">
        <v>0.98670000000000002</v>
      </c>
      <c r="M233" s="11">
        <v>141.91163158888</v>
      </c>
      <c r="N233" s="11">
        <v>233.21112002366965</v>
      </c>
      <c r="O233" s="13">
        <v>2.2068368671570752E-2</v>
      </c>
      <c r="P233" s="13">
        <v>0.16508005192557337</v>
      </c>
      <c r="Q233" s="13">
        <v>0.72782345305062746</v>
      </c>
      <c r="R233" s="13">
        <v>5.7983556901774133E-2</v>
      </c>
      <c r="S233" s="13"/>
      <c r="T233" s="13">
        <v>2.7044569450454352E-2</v>
      </c>
      <c r="U233" s="14" t="s">
        <v>230</v>
      </c>
      <c r="V233" s="15">
        <f>SUM(O233:T233)</f>
        <v>1</v>
      </c>
    </row>
    <row r="234" spans="2:22" ht="30" x14ac:dyDescent="0.25">
      <c r="B234" s="7">
        <v>595</v>
      </c>
      <c r="C234" s="7" t="s">
        <v>142</v>
      </c>
      <c r="D234" s="8" t="s">
        <v>227</v>
      </c>
      <c r="E234" s="7"/>
      <c r="F234" s="7" t="s">
        <v>236</v>
      </c>
      <c r="G234" s="9" t="s">
        <v>229</v>
      </c>
      <c r="H234" s="10">
        <v>44194</v>
      </c>
      <c r="I234" s="11">
        <v>2366.7494399999996</v>
      </c>
      <c r="J234" s="11">
        <v>40.930560000000241</v>
      </c>
      <c r="K234" s="11">
        <v>2407.6799999999998</v>
      </c>
      <c r="L234" s="12">
        <v>0.98299999999999998</v>
      </c>
      <c r="M234" s="11">
        <v>106.51</v>
      </c>
      <c r="N234" s="11">
        <v>108.4</v>
      </c>
      <c r="O234" s="13">
        <v>3.7499999999999999E-2</v>
      </c>
      <c r="P234" s="13"/>
      <c r="Q234" s="13">
        <v>0.40260000000000001</v>
      </c>
      <c r="R234" s="13"/>
      <c r="S234" s="13">
        <v>0.3674</v>
      </c>
      <c r="T234" s="13">
        <v>0.1925</v>
      </c>
      <c r="U234" s="14" t="s">
        <v>230</v>
      </c>
      <c r="V234" s="15">
        <v>1</v>
      </c>
    </row>
    <row r="235" spans="2:22" x14ac:dyDescent="0.25">
      <c r="B235" s="7">
        <v>1791</v>
      </c>
      <c r="C235" s="7" t="s">
        <v>142</v>
      </c>
      <c r="D235" s="8" t="s">
        <v>227</v>
      </c>
      <c r="E235" s="7"/>
      <c r="F235" s="7" t="s">
        <v>236</v>
      </c>
      <c r="G235" s="9" t="s">
        <v>229</v>
      </c>
      <c r="H235" s="10">
        <v>44817</v>
      </c>
      <c r="I235" s="11">
        <f>K235*L235</f>
        <v>2822.1988079999996</v>
      </c>
      <c r="J235" s="11">
        <f>K235-I235</f>
        <v>38.041192000000137</v>
      </c>
      <c r="K235" s="11">
        <v>2860.24</v>
      </c>
      <c r="L235" s="12">
        <v>0.98670000000000002</v>
      </c>
      <c r="M235" s="11">
        <v>84.42</v>
      </c>
      <c r="N235" s="11">
        <v>142.01</v>
      </c>
      <c r="O235" s="13">
        <v>3.2300000000000002E-2</v>
      </c>
      <c r="P235" s="13">
        <v>0.19400000000000001</v>
      </c>
      <c r="Q235" s="13">
        <v>0.58409999999999995</v>
      </c>
      <c r="R235" s="13">
        <v>0.14660000000000001</v>
      </c>
      <c r="S235" s="13"/>
      <c r="T235" s="13">
        <v>4.2000000000000003E-2</v>
      </c>
      <c r="U235" s="14" t="s">
        <v>230</v>
      </c>
      <c r="V235" s="15">
        <f>SUM(O235:T235)</f>
        <v>0.99900000000000011</v>
      </c>
    </row>
    <row r="236" spans="2:22" ht="30" x14ac:dyDescent="0.25">
      <c r="B236" s="7">
        <v>1726</v>
      </c>
      <c r="C236" s="7" t="s">
        <v>143</v>
      </c>
      <c r="D236" s="8" t="s">
        <v>254</v>
      </c>
      <c r="E236" s="7"/>
      <c r="F236" s="7" t="s">
        <v>290</v>
      </c>
      <c r="G236" s="9" t="s">
        <v>229</v>
      </c>
      <c r="H236" s="10">
        <v>44790</v>
      </c>
      <c r="I236" s="11">
        <f>K236*L236</f>
        <v>135</v>
      </c>
      <c r="J236" s="11">
        <f>K236-I236</f>
        <v>45</v>
      </c>
      <c r="K236" s="11">
        <v>180</v>
      </c>
      <c r="L236" s="12">
        <v>0.75</v>
      </c>
      <c r="M236" s="11">
        <v>174.96</v>
      </c>
      <c r="N236" s="11">
        <v>548.59</v>
      </c>
      <c r="O236" s="13">
        <v>4.9099999999999998E-2</v>
      </c>
      <c r="P236" s="13">
        <v>0.2591</v>
      </c>
      <c r="Q236" s="13">
        <v>0.4919</v>
      </c>
      <c r="R236" s="13">
        <v>0.16400000000000001</v>
      </c>
      <c r="S236" s="13"/>
      <c r="T236" s="13">
        <v>3.5900000000000001E-2</v>
      </c>
      <c r="U236" s="14" t="s">
        <v>230</v>
      </c>
      <c r="V236" s="15">
        <f>SUM(O236:T236)</f>
        <v>1</v>
      </c>
    </row>
    <row r="237" spans="2:22" x14ac:dyDescent="0.25">
      <c r="B237" s="7">
        <v>1725</v>
      </c>
      <c r="C237" s="7" t="s">
        <v>143</v>
      </c>
      <c r="D237" s="8" t="s">
        <v>254</v>
      </c>
      <c r="E237" s="7"/>
      <c r="F237" s="7" t="s">
        <v>290</v>
      </c>
      <c r="G237" s="9" t="s">
        <v>229</v>
      </c>
      <c r="H237" s="10">
        <v>44789</v>
      </c>
      <c r="I237" s="11">
        <f>K237*L237</f>
        <v>135</v>
      </c>
      <c r="J237" s="11">
        <f>K237-I237</f>
        <v>45</v>
      </c>
      <c r="K237" s="11">
        <v>180</v>
      </c>
      <c r="L237" s="12">
        <v>0.75</v>
      </c>
      <c r="M237" s="11">
        <v>114.93</v>
      </c>
      <c r="N237" s="11">
        <v>229.22</v>
      </c>
      <c r="O237" s="13">
        <v>4.7699999999999999E-2</v>
      </c>
      <c r="P237" s="13">
        <v>0.27329999999999999</v>
      </c>
      <c r="Q237" s="13">
        <v>0.42570000000000002</v>
      </c>
      <c r="R237" s="13">
        <v>0.1229</v>
      </c>
      <c r="S237" s="13"/>
      <c r="T237" s="13">
        <v>0.1303</v>
      </c>
      <c r="U237" s="14" t="s">
        <v>230</v>
      </c>
      <c r="V237" s="15">
        <f>SUM(O237:T237)</f>
        <v>0.99990000000000001</v>
      </c>
    </row>
    <row r="238" spans="2:22" ht="30" x14ac:dyDescent="0.25">
      <c r="B238" s="7">
        <v>634</v>
      </c>
      <c r="C238" s="7" t="s">
        <v>144</v>
      </c>
      <c r="D238" s="8" t="s">
        <v>227</v>
      </c>
      <c r="E238" s="7"/>
      <c r="F238" s="7" t="s">
        <v>244</v>
      </c>
      <c r="G238" s="9" t="s">
        <v>229</v>
      </c>
      <c r="H238" s="10">
        <v>44203</v>
      </c>
      <c r="I238" s="11">
        <v>7866.82</v>
      </c>
      <c r="J238" s="11">
        <v>33.180000000000291</v>
      </c>
      <c r="K238" s="11">
        <v>7900</v>
      </c>
      <c r="L238" s="12">
        <v>0.99580000000000002</v>
      </c>
      <c r="M238" s="11">
        <v>142.44</v>
      </c>
      <c r="N238" s="11">
        <v>145.41999999999999</v>
      </c>
      <c r="O238" s="13">
        <v>0.43149999999999999</v>
      </c>
      <c r="P238" s="13"/>
      <c r="Q238" s="13">
        <v>0.3775</v>
      </c>
      <c r="R238" s="13"/>
      <c r="S238" s="13">
        <v>0.1211</v>
      </c>
      <c r="T238" s="13">
        <v>6.9900000000000004E-2</v>
      </c>
      <c r="U238" s="14" t="s">
        <v>230</v>
      </c>
      <c r="V238" s="15">
        <v>0.99999999999999989</v>
      </c>
    </row>
    <row r="239" spans="2:22" ht="30" x14ac:dyDescent="0.25">
      <c r="B239" s="7">
        <v>1229</v>
      </c>
      <c r="C239" s="7" t="s">
        <v>145</v>
      </c>
      <c r="D239" s="8" t="s">
        <v>227</v>
      </c>
      <c r="E239" s="7"/>
      <c r="F239" s="7" t="s">
        <v>296</v>
      </c>
      <c r="G239" s="9" t="s">
        <v>229</v>
      </c>
      <c r="H239" s="10">
        <v>44431</v>
      </c>
      <c r="I239" s="11">
        <v>18530.096784000001</v>
      </c>
      <c r="J239" s="11">
        <v>179.61321599999792</v>
      </c>
      <c r="K239" s="11">
        <v>18709.71</v>
      </c>
      <c r="L239" s="12">
        <v>0.99040000000000006</v>
      </c>
      <c r="M239" s="11">
        <v>139.83000000000001</v>
      </c>
      <c r="N239" s="11">
        <v>218.33</v>
      </c>
      <c r="O239" s="13">
        <v>1.6500000000000001E-2</v>
      </c>
      <c r="P239" s="13">
        <v>3.49E-2</v>
      </c>
      <c r="Q239" s="13">
        <v>0.31440000000000001</v>
      </c>
      <c r="R239" s="13">
        <v>0.56299999999999994</v>
      </c>
      <c r="S239" s="13"/>
      <c r="T239" s="13">
        <v>7.1199999999999999E-2</v>
      </c>
      <c r="U239" s="14" t="s">
        <v>230</v>
      </c>
      <c r="V239" s="15">
        <v>1</v>
      </c>
    </row>
    <row r="240" spans="2:22" ht="30" x14ac:dyDescent="0.25">
      <c r="B240" s="7">
        <v>1195</v>
      </c>
      <c r="C240" s="7" t="s">
        <v>146</v>
      </c>
      <c r="D240" s="8" t="s">
        <v>227</v>
      </c>
      <c r="E240" s="7"/>
      <c r="F240" s="7" t="s">
        <v>251</v>
      </c>
      <c r="G240" s="9" t="s">
        <v>229</v>
      </c>
      <c r="H240" s="10">
        <v>44410</v>
      </c>
      <c r="I240" s="11">
        <v>512</v>
      </c>
      <c r="J240" s="11">
        <v>128</v>
      </c>
      <c r="K240" s="11">
        <v>640</v>
      </c>
      <c r="L240" s="12">
        <v>0.8</v>
      </c>
      <c r="M240" s="11">
        <v>91.94</v>
      </c>
      <c r="N240" s="11">
        <v>165.24</v>
      </c>
      <c r="O240" s="13">
        <v>7.0599999999999996E-2</v>
      </c>
      <c r="P240" s="13">
        <v>0.45619999999999999</v>
      </c>
      <c r="Q240" s="13">
        <v>0.33279999999999998</v>
      </c>
      <c r="R240" s="13">
        <v>9.3200000000000005E-2</v>
      </c>
      <c r="S240" s="13"/>
      <c r="T240" s="13">
        <v>4.7199999999999999E-2</v>
      </c>
      <c r="U240" s="14" t="s">
        <v>230</v>
      </c>
      <c r="V240" s="15">
        <v>0.99999999999999989</v>
      </c>
    </row>
    <row r="241" spans="2:22" ht="30" x14ac:dyDescent="0.25">
      <c r="B241" s="7">
        <v>292</v>
      </c>
      <c r="C241" s="7" t="s">
        <v>147</v>
      </c>
      <c r="D241" s="8" t="s">
        <v>227</v>
      </c>
      <c r="E241" s="7"/>
      <c r="F241" s="7" t="s">
        <v>246</v>
      </c>
      <c r="G241" s="9" t="s">
        <v>229</v>
      </c>
      <c r="H241" s="10">
        <v>44085</v>
      </c>
      <c r="I241" s="11">
        <v>325.57217999999995</v>
      </c>
      <c r="J241" s="11">
        <v>72.437820000000045</v>
      </c>
      <c r="K241" s="11">
        <v>398.01</v>
      </c>
      <c r="L241" s="12">
        <v>0.81799999999999995</v>
      </c>
      <c r="M241" s="11">
        <v>1074.1400000000001</v>
      </c>
      <c r="N241" s="11">
        <v>1108.3</v>
      </c>
      <c r="O241" s="13">
        <v>0.13450000000000001</v>
      </c>
      <c r="P241" s="13"/>
      <c r="Q241" s="13">
        <v>0.62509999999999999</v>
      </c>
      <c r="R241" s="13"/>
      <c r="S241" s="13">
        <v>0.1648</v>
      </c>
      <c r="T241" s="13">
        <v>7.5700000000000003E-2</v>
      </c>
      <c r="U241" s="14" t="s">
        <v>247</v>
      </c>
      <c r="V241" s="15">
        <v>1.0001000000000002</v>
      </c>
    </row>
    <row r="242" spans="2:22" ht="30" x14ac:dyDescent="0.25">
      <c r="B242" s="7">
        <v>228</v>
      </c>
      <c r="C242" s="7" t="s">
        <v>148</v>
      </c>
      <c r="D242" s="8" t="s">
        <v>227</v>
      </c>
      <c r="E242" s="7"/>
      <c r="F242" s="7" t="s">
        <v>237</v>
      </c>
      <c r="G242" s="9" t="s">
        <v>229</v>
      </c>
      <c r="H242" s="10">
        <v>44075</v>
      </c>
      <c r="I242" s="11">
        <v>2082.8913600000001</v>
      </c>
      <c r="J242" s="11">
        <v>93.588639999999941</v>
      </c>
      <c r="K242" s="11">
        <v>2176.48</v>
      </c>
      <c r="L242" s="12">
        <v>0.95700000000000007</v>
      </c>
      <c r="M242" s="11">
        <v>129.47999999999999</v>
      </c>
      <c r="N242" s="11">
        <v>142.56</v>
      </c>
      <c r="O242" s="13">
        <v>0.1017</v>
      </c>
      <c r="P242" s="13"/>
      <c r="Q242" s="13">
        <v>0.3553</v>
      </c>
      <c r="R242" s="13"/>
      <c r="S242" s="13">
        <v>0.39750000000000002</v>
      </c>
      <c r="T242" s="13">
        <v>0.14549999999999999</v>
      </c>
      <c r="U242" s="14" t="s">
        <v>230</v>
      </c>
      <c r="V242" s="15">
        <v>1</v>
      </c>
    </row>
    <row r="243" spans="2:22" ht="30" x14ac:dyDescent="0.25">
      <c r="B243" s="7">
        <v>631</v>
      </c>
      <c r="C243" s="7" t="s">
        <v>148</v>
      </c>
      <c r="D243" s="8" t="s">
        <v>227</v>
      </c>
      <c r="E243" s="7"/>
      <c r="F243" s="7" t="s">
        <v>237</v>
      </c>
      <c r="G243" s="9" t="s">
        <v>229</v>
      </c>
      <c r="H243" s="10">
        <v>44202</v>
      </c>
      <c r="I243" s="11">
        <v>2082.8913600000001</v>
      </c>
      <c r="J243" s="11">
        <v>93.588639999999941</v>
      </c>
      <c r="K243" s="11">
        <v>2176.48</v>
      </c>
      <c r="L243" s="12">
        <v>0.95700000000000007</v>
      </c>
      <c r="M243" s="11">
        <v>118.82</v>
      </c>
      <c r="N243" s="11">
        <v>120.21</v>
      </c>
      <c r="O243" s="13">
        <v>4.2500000000000003E-2</v>
      </c>
      <c r="P243" s="13"/>
      <c r="Q243" s="13">
        <v>0.21329999999999999</v>
      </c>
      <c r="R243" s="13"/>
      <c r="S243" s="13">
        <v>0.34310000000000002</v>
      </c>
      <c r="T243" s="13">
        <v>0.40110000000000001</v>
      </c>
      <c r="U243" s="14" t="s">
        <v>247</v>
      </c>
      <c r="V243" s="15">
        <v>1</v>
      </c>
    </row>
    <row r="244" spans="2:22" ht="30" x14ac:dyDescent="0.25">
      <c r="B244" s="7">
        <v>1065</v>
      </c>
      <c r="C244" s="7" t="s">
        <v>148</v>
      </c>
      <c r="D244" s="8" t="s">
        <v>227</v>
      </c>
      <c r="E244" s="7"/>
      <c r="F244" s="7" t="s">
        <v>237</v>
      </c>
      <c r="G244" s="9" t="s">
        <v>229</v>
      </c>
      <c r="H244" s="10">
        <v>44315</v>
      </c>
      <c r="I244" s="11">
        <v>2082.8913600000001</v>
      </c>
      <c r="J244" s="11">
        <v>93.588639999999941</v>
      </c>
      <c r="K244" s="11">
        <v>2176.48</v>
      </c>
      <c r="L244" s="12">
        <v>0.95700000000000007</v>
      </c>
      <c r="M244" s="11">
        <v>104.67</v>
      </c>
      <c r="N244" s="11">
        <v>153.6</v>
      </c>
      <c r="O244" s="13">
        <v>1.8200000000000001E-2</v>
      </c>
      <c r="P244" s="13">
        <v>7.22E-2</v>
      </c>
      <c r="Q244" s="13">
        <v>0.49380000000000002</v>
      </c>
      <c r="R244" s="13">
        <v>0.3054</v>
      </c>
      <c r="S244" s="13"/>
      <c r="T244" s="13">
        <v>0.1104</v>
      </c>
      <c r="U244" s="14" t="s">
        <v>247</v>
      </c>
      <c r="V244" s="15">
        <v>1</v>
      </c>
    </row>
    <row r="245" spans="2:22" ht="30" x14ac:dyDescent="0.25">
      <c r="B245" s="7">
        <v>718</v>
      </c>
      <c r="C245" s="7" t="s">
        <v>149</v>
      </c>
      <c r="D245" s="8" t="s">
        <v>227</v>
      </c>
      <c r="E245" s="7"/>
      <c r="F245" s="7" t="s">
        <v>270</v>
      </c>
      <c r="G245" s="9" t="s">
        <v>229</v>
      </c>
      <c r="H245" s="10">
        <v>44224</v>
      </c>
      <c r="I245" s="11">
        <v>401.5</v>
      </c>
      <c r="J245" s="11">
        <v>148.5</v>
      </c>
      <c r="K245" s="11">
        <v>550</v>
      </c>
      <c r="L245" s="12">
        <v>0.73</v>
      </c>
      <c r="M245" s="11">
        <v>214.13</v>
      </c>
      <c r="N245" s="11">
        <v>744.14</v>
      </c>
      <c r="O245" s="13">
        <v>7.2900000000000006E-2</v>
      </c>
      <c r="P245" s="13"/>
      <c r="Q245" s="13">
        <v>0.28649999999999998</v>
      </c>
      <c r="R245" s="13"/>
      <c r="S245" s="13">
        <v>0.31519999999999998</v>
      </c>
      <c r="T245" s="13">
        <v>0.32540000000000002</v>
      </c>
      <c r="U245" s="14" t="s">
        <v>230</v>
      </c>
      <c r="V245" s="15">
        <v>1</v>
      </c>
    </row>
    <row r="246" spans="2:22" x14ac:dyDescent="0.25">
      <c r="B246" s="7">
        <v>850</v>
      </c>
      <c r="C246" s="7" t="s">
        <v>150</v>
      </c>
      <c r="D246" s="8" t="s">
        <v>227</v>
      </c>
      <c r="E246" s="7"/>
      <c r="F246" s="7" t="s">
        <v>270</v>
      </c>
      <c r="G246" s="9" t="s">
        <v>229</v>
      </c>
      <c r="H246" s="10">
        <v>44251</v>
      </c>
      <c r="I246" s="11">
        <v>239.20049999999998</v>
      </c>
      <c r="J246" s="11">
        <v>71.4495</v>
      </c>
      <c r="K246" s="11">
        <v>310.64999999999998</v>
      </c>
      <c r="L246" s="12">
        <v>0.77</v>
      </c>
      <c r="M246" s="11">
        <v>356.34</v>
      </c>
      <c r="N246" s="11">
        <v>765.22</v>
      </c>
      <c r="O246" s="13">
        <v>0.21290000000000001</v>
      </c>
      <c r="P246" s="13"/>
      <c r="Q246" s="13">
        <v>0.5847</v>
      </c>
      <c r="R246" s="13"/>
      <c r="S246" s="13">
        <v>0.15909999999999999</v>
      </c>
      <c r="T246" s="13">
        <v>4.3299999999999998E-2</v>
      </c>
      <c r="U246" s="14" t="s">
        <v>247</v>
      </c>
      <c r="V246" s="15">
        <v>1</v>
      </c>
    </row>
    <row r="247" spans="2:22" ht="30" x14ac:dyDescent="0.25">
      <c r="B247" s="7">
        <v>112</v>
      </c>
      <c r="C247" s="7" t="s">
        <v>151</v>
      </c>
      <c r="D247" s="8" t="s">
        <v>227</v>
      </c>
      <c r="E247" s="7"/>
      <c r="F247" s="7" t="s">
        <v>261</v>
      </c>
      <c r="G247" s="9" t="s">
        <v>229</v>
      </c>
      <c r="H247" s="10">
        <v>44047</v>
      </c>
      <c r="I247" s="11">
        <v>607.5918999999999</v>
      </c>
      <c r="J247" s="11">
        <v>104.70810000000006</v>
      </c>
      <c r="K247" s="11">
        <v>712.3</v>
      </c>
      <c r="L247" s="12">
        <v>0.85299999999999998</v>
      </c>
      <c r="M247" s="11">
        <v>118.31</v>
      </c>
      <c r="N247" s="11">
        <v>119.47</v>
      </c>
      <c r="O247" s="13">
        <v>0.38350000000000001</v>
      </c>
      <c r="P247" s="13"/>
      <c r="Q247" s="13">
        <v>0.57110000000000005</v>
      </c>
      <c r="R247" s="13"/>
      <c r="S247" s="13">
        <v>2.1399999999999999E-2</v>
      </c>
      <c r="T247" s="13">
        <v>2.4E-2</v>
      </c>
      <c r="U247" s="14" t="s">
        <v>230</v>
      </c>
      <c r="V247" s="15">
        <v>1</v>
      </c>
    </row>
    <row r="248" spans="2:22" ht="30" x14ac:dyDescent="0.25">
      <c r="B248" s="7">
        <v>849</v>
      </c>
      <c r="C248" s="7" t="s">
        <v>152</v>
      </c>
      <c r="D248" s="8" t="s">
        <v>227</v>
      </c>
      <c r="E248" s="7"/>
      <c r="F248" s="7" t="s">
        <v>270</v>
      </c>
      <c r="G248" s="9" t="s">
        <v>229</v>
      </c>
      <c r="H248" s="10">
        <v>44251</v>
      </c>
      <c r="I248" s="11">
        <v>444.16</v>
      </c>
      <c r="J248" s="11">
        <v>195.83999999999997</v>
      </c>
      <c r="K248" s="11">
        <v>640</v>
      </c>
      <c r="L248" s="12">
        <v>0.69400000000000006</v>
      </c>
      <c r="M248" s="11">
        <v>148.35</v>
      </c>
      <c r="N248" s="11">
        <v>350.73</v>
      </c>
      <c r="O248" s="13">
        <v>0.3014</v>
      </c>
      <c r="P248" s="13"/>
      <c r="Q248" s="13">
        <v>0.55249999999999999</v>
      </c>
      <c r="R248" s="13"/>
      <c r="S248" s="13">
        <v>9.0200000000000002E-2</v>
      </c>
      <c r="T248" s="13">
        <v>5.5899999999999998E-2</v>
      </c>
      <c r="U248" s="14" t="s">
        <v>247</v>
      </c>
      <c r="V248" s="15">
        <v>0.99999999999999989</v>
      </c>
    </row>
    <row r="249" spans="2:22" ht="30" x14ac:dyDescent="0.25">
      <c r="B249" s="7">
        <v>107</v>
      </c>
      <c r="C249" s="7" t="s">
        <v>153</v>
      </c>
      <c r="D249" s="8" t="s">
        <v>227</v>
      </c>
      <c r="E249" s="7"/>
      <c r="F249" s="7" t="s">
        <v>237</v>
      </c>
      <c r="G249" s="9" t="s">
        <v>229</v>
      </c>
      <c r="H249" s="10">
        <v>43909</v>
      </c>
      <c r="I249" s="11">
        <v>1665.7550000000001</v>
      </c>
      <c r="J249" s="11">
        <v>164.74499999999989</v>
      </c>
      <c r="K249" s="11">
        <v>1830.5</v>
      </c>
      <c r="L249" s="12">
        <v>0.91</v>
      </c>
      <c r="M249" s="11">
        <v>481.44</v>
      </c>
      <c r="N249" s="11">
        <v>486.74</v>
      </c>
      <c r="O249" s="13">
        <v>0.68899999999999995</v>
      </c>
      <c r="P249" s="13"/>
      <c r="Q249" s="13">
        <v>0.28470000000000001</v>
      </c>
      <c r="R249" s="13"/>
      <c r="S249" s="13">
        <v>3.5000000000000001E-3</v>
      </c>
      <c r="T249" s="13">
        <v>2.2800000000000001E-2</v>
      </c>
      <c r="U249" s="14" t="s">
        <v>247</v>
      </c>
      <c r="V249" s="15">
        <v>1</v>
      </c>
    </row>
    <row r="250" spans="2:22" ht="30" x14ac:dyDescent="0.25">
      <c r="B250" s="7">
        <v>564</v>
      </c>
      <c r="C250" s="7" t="s">
        <v>153</v>
      </c>
      <c r="D250" s="8" t="s">
        <v>227</v>
      </c>
      <c r="E250" s="7"/>
      <c r="F250" s="7" t="s">
        <v>237</v>
      </c>
      <c r="G250" s="9" t="s">
        <v>229</v>
      </c>
      <c r="H250" s="10">
        <v>44182</v>
      </c>
      <c r="I250" s="11">
        <v>1665.7550000000001</v>
      </c>
      <c r="J250" s="11">
        <v>164.74499999999989</v>
      </c>
      <c r="K250" s="11">
        <v>1830.5</v>
      </c>
      <c r="L250" s="12">
        <v>0.91</v>
      </c>
      <c r="M250" s="11">
        <v>159.32</v>
      </c>
      <c r="N250" s="11">
        <v>385.75</v>
      </c>
      <c r="O250" s="13">
        <v>0.36509999999999998</v>
      </c>
      <c r="P250" s="13"/>
      <c r="Q250" s="13">
        <v>0.44340000000000002</v>
      </c>
      <c r="R250" s="13"/>
      <c r="S250" s="13">
        <v>0.1419</v>
      </c>
      <c r="T250" s="13">
        <v>4.9599999999999998E-2</v>
      </c>
      <c r="U250" s="14" t="s">
        <v>247</v>
      </c>
      <c r="V250" s="15">
        <v>1</v>
      </c>
    </row>
    <row r="251" spans="2:22" ht="30" x14ac:dyDescent="0.25">
      <c r="B251" s="7">
        <v>1646</v>
      </c>
      <c r="C251" s="7" t="s">
        <v>153</v>
      </c>
      <c r="D251" s="8" t="s">
        <v>227</v>
      </c>
      <c r="E251" s="7"/>
      <c r="F251" s="7" t="s">
        <v>237</v>
      </c>
      <c r="G251" s="9" t="s">
        <v>229</v>
      </c>
      <c r="H251" s="10">
        <v>44749</v>
      </c>
      <c r="I251" s="16">
        <f>K251*L251</f>
        <v>1546.7725</v>
      </c>
      <c r="J251" s="16">
        <f>K251-I251</f>
        <v>283.72749999999996</v>
      </c>
      <c r="K251" s="11">
        <v>1830.5</v>
      </c>
      <c r="L251" s="12">
        <v>0.84499999999999997</v>
      </c>
      <c r="M251" s="11">
        <v>154.69999999999999</v>
      </c>
      <c r="N251" s="11">
        <v>327.06</v>
      </c>
      <c r="O251" s="17">
        <v>9.1000000000000004E-3</v>
      </c>
      <c r="P251" s="17">
        <v>0.53469999999999995</v>
      </c>
      <c r="Q251" s="17">
        <v>0.36680000000000001</v>
      </c>
      <c r="R251" s="17">
        <v>7.5600000000000001E-2</v>
      </c>
      <c r="S251" s="17"/>
      <c r="T251" s="17">
        <v>1.3899999999999999E-2</v>
      </c>
      <c r="U251" s="7" t="s">
        <v>230</v>
      </c>
      <c r="V251" s="15">
        <f>SUM(O251:T251)</f>
        <v>1.0001</v>
      </c>
    </row>
    <row r="252" spans="2:22" ht="30" x14ac:dyDescent="0.25">
      <c r="B252" s="7">
        <v>841</v>
      </c>
      <c r="C252" s="7" t="s">
        <v>154</v>
      </c>
      <c r="D252" s="8" t="s">
        <v>227</v>
      </c>
      <c r="E252" s="7"/>
      <c r="F252" s="7" t="s">
        <v>270</v>
      </c>
      <c r="G252" s="9" t="s">
        <v>229</v>
      </c>
      <c r="H252" s="10">
        <v>44250</v>
      </c>
      <c r="I252" s="11">
        <v>315</v>
      </c>
      <c r="J252" s="11">
        <v>35</v>
      </c>
      <c r="K252" s="11">
        <v>350</v>
      </c>
      <c r="L252" s="12">
        <v>0.9</v>
      </c>
      <c r="M252" s="11">
        <v>322.74</v>
      </c>
      <c r="N252" s="11">
        <v>508.26</v>
      </c>
      <c r="O252" s="13">
        <v>0.20069999999999999</v>
      </c>
      <c r="P252" s="13"/>
      <c r="Q252" s="13">
        <v>0.1658</v>
      </c>
      <c r="R252" s="13"/>
      <c r="S252" s="13">
        <v>0.33829999999999999</v>
      </c>
      <c r="T252" s="13">
        <v>0.29520000000000002</v>
      </c>
      <c r="U252" s="14" t="s">
        <v>247</v>
      </c>
      <c r="V252" s="15">
        <v>1</v>
      </c>
    </row>
    <row r="253" spans="2:22" ht="30" x14ac:dyDescent="0.25">
      <c r="B253" s="7">
        <v>1904</v>
      </c>
      <c r="C253" s="7" t="s">
        <v>155</v>
      </c>
      <c r="D253" s="8" t="s">
        <v>227</v>
      </c>
      <c r="E253" s="7"/>
      <c r="F253" s="7" t="s">
        <v>237</v>
      </c>
      <c r="G253" s="9" t="s">
        <v>229</v>
      </c>
      <c r="H253" s="10">
        <v>44865</v>
      </c>
      <c r="I253" s="11">
        <f t="shared" ref="I253:I263" si="9">K253*L253</f>
        <v>3960</v>
      </c>
      <c r="J253" s="11">
        <f t="shared" ref="J253:J263" si="10">K253-I253</f>
        <v>40</v>
      </c>
      <c r="K253" s="11">
        <v>4000</v>
      </c>
      <c r="L253" s="12">
        <v>0.99</v>
      </c>
      <c r="M253" s="11">
        <v>959.45</v>
      </c>
      <c r="N253" s="11">
        <v>1463.38</v>
      </c>
      <c r="O253" s="13">
        <v>4.1300000000000003E-2</v>
      </c>
      <c r="P253" s="13">
        <v>0.2044</v>
      </c>
      <c r="Q253" s="13">
        <v>0.65749999999999997</v>
      </c>
      <c r="R253" s="13">
        <v>8.1699999999999995E-2</v>
      </c>
      <c r="S253" s="13"/>
      <c r="T253" s="13">
        <v>1.5100000000000001E-2</v>
      </c>
      <c r="U253" s="14" t="s">
        <v>230</v>
      </c>
      <c r="V253" s="15">
        <f t="shared" ref="V253:V263" si="11">SUM(O253:T253)</f>
        <v>1</v>
      </c>
    </row>
    <row r="254" spans="2:22" ht="30" x14ac:dyDescent="0.25">
      <c r="B254" s="7">
        <v>1906</v>
      </c>
      <c r="C254" s="7" t="s">
        <v>155</v>
      </c>
      <c r="D254" s="8" t="s">
        <v>227</v>
      </c>
      <c r="E254" s="7"/>
      <c r="F254" s="7" t="s">
        <v>237</v>
      </c>
      <c r="G254" s="9" t="s">
        <v>229</v>
      </c>
      <c r="H254" s="10">
        <v>44866</v>
      </c>
      <c r="I254" s="11">
        <f t="shared" si="9"/>
        <v>3960</v>
      </c>
      <c r="J254" s="11">
        <f t="shared" si="10"/>
        <v>40</v>
      </c>
      <c r="K254" s="11">
        <v>4000</v>
      </c>
      <c r="L254" s="12">
        <v>0.99</v>
      </c>
      <c r="M254" s="11">
        <v>802.02</v>
      </c>
      <c r="N254" s="11">
        <v>1598.43</v>
      </c>
      <c r="O254" s="13">
        <v>1.29E-2</v>
      </c>
      <c r="P254" s="13">
        <v>0.22739999999999999</v>
      </c>
      <c r="Q254" s="13">
        <v>0.68359999999999999</v>
      </c>
      <c r="R254" s="13">
        <v>5.3400000000000003E-2</v>
      </c>
      <c r="S254" s="13"/>
      <c r="T254" s="13">
        <v>2.2700000000000001E-2</v>
      </c>
      <c r="U254" s="14" t="s">
        <v>230</v>
      </c>
      <c r="V254" s="15">
        <f t="shared" si="11"/>
        <v>1</v>
      </c>
    </row>
    <row r="255" spans="2:22" ht="30" x14ac:dyDescent="0.25">
      <c r="B255" s="7">
        <v>2170</v>
      </c>
      <c r="C255" s="7" t="s">
        <v>155</v>
      </c>
      <c r="D255" s="8" t="s">
        <v>227</v>
      </c>
      <c r="E255" s="7"/>
      <c r="F255" s="7" t="s">
        <v>237</v>
      </c>
      <c r="G255" s="9" t="s">
        <v>229</v>
      </c>
      <c r="H255" s="10">
        <v>45054</v>
      </c>
      <c r="I255" s="11">
        <f t="shared" si="9"/>
        <v>0</v>
      </c>
      <c r="J255" s="11">
        <f t="shared" si="10"/>
        <v>0</v>
      </c>
      <c r="K255" s="11">
        <f>IFERROR(IF([1]!Tabla1[[#This Row],[POZO]]="",K254,VLOOKUP(C255,[2]Sheet1!$B$3:$E$1048576,2,FALSE)),0)</f>
        <v>0</v>
      </c>
      <c r="L255" s="12">
        <v>0.99819999999999998</v>
      </c>
      <c r="M255" s="11">
        <v>195.2712173900745</v>
      </c>
      <c r="N255" s="11">
        <v>485.44467910492313</v>
      </c>
      <c r="O255" s="13">
        <v>1.7716535433070866E-2</v>
      </c>
      <c r="P255" s="13">
        <v>0.14788385826771655</v>
      </c>
      <c r="Q255" s="13">
        <v>0.46112204724409456</v>
      </c>
      <c r="R255" s="13">
        <v>0.22293307086614175</v>
      </c>
      <c r="S255" s="13"/>
      <c r="T255" s="13">
        <v>0.15034448818897639</v>
      </c>
      <c r="U255" s="14" t="s">
        <v>230</v>
      </c>
      <c r="V255" s="15">
        <f t="shared" si="11"/>
        <v>1</v>
      </c>
    </row>
    <row r="256" spans="2:22" ht="30" x14ac:dyDescent="0.25">
      <c r="B256" s="7">
        <v>1864</v>
      </c>
      <c r="C256" s="7" t="s">
        <v>155</v>
      </c>
      <c r="D256" s="8" t="s">
        <v>227</v>
      </c>
      <c r="E256" s="7"/>
      <c r="F256" s="7" t="s">
        <v>237</v>
      </c>
      <c r="G256" s="9" t="s">
        <v>229</v>
      </c>
      <c r="H256" s="10">
        <v>44845</v>
      </c>
      <c r="I256" s="11">
        <f t="shared" si="9"/>
        <v>3960</v>
      </c>
      <c r="J256" s="11">
        <f t="shared" si="10"/>
        <v>40</v>
      </c>
      <c r="K256" s="11">
        <v>4000</v>
      </c>
      <c r="L256" s="12">
        <v>0.99</v>
      </c>
      <c r="M256" s="11">
        <v>186.57</v>
      </c>
      <c r="N256" s="11">
        <v>263.58</v>
      </c>
      <c r="O256" s="13">
        <v>4.36E-2</v>
      </c>
      <c r="P256" s="13">
        <v>0.29599999999999999</v>
      </c>
      <c r="Q256" s="13">
        <v>0.56540000000000001</v>
      </c>
      <c r="R256" s="13">
        <v>7.6999999999999999E-2</v>
      </c>
      <c r="S256" s="13"/>
      <c r="T256" s="13">
        <v>1.8100000000000002E-2</v>
      </c>
      <c r="U256" s="14" t="s">
        <v>230</v>
      </c>
      <c r="V256" s="15">
        <f t="shared" si="11"/>
        <v>1.0001</v>
      </c>
    </row>
    <row r="257" spans="2:22" x14ac:dyDescent="0.25">
      <c r="B257" s="7">
        <v>1876</v>
      </c>
      <c r="C257" s="7" t="s">
        <v>155</v>
      </c>
      <c r="D257" s="8" t="s">
        <v>227</v>
      </c>
      <c r="E257" s="7"/>
      <c r="F257" s="7" t="s">
        <v>237</v>
      </c>
      <c r="G257" s="9" t="s">
        <v>229</v>
      </c>
      <c r="H257" s="10">
        <v>44849</v>
      </c>
      <c r="I257" s="11">
        <f t="shared" si="9"/>
        <v>3960</v>
      </c>
      <c r="J257" s="11">
        <f t="shared" si="10"/>
        <v>40</v>
      </c>
      <c r="K257" s="11">
        <v>4000</v>
      </c>
      <c r="L257" s="12">
        <v>0.99</v>
      </c>
      <c r="M257" s="11">
        <v>112.93</v>
      </c>
      <c r="N257" s="11">
        <v>260.60000000000002</v>
      </c>
      <c r="O257" s="13">
        <v>2.1000000000000001E-2</v>
      </c>
      <c r="P257" s="13">
        <v>0.26669999999999999</v>
      </c>
      <c r="Q257" s="13">
        <v>0.52459999999999996</v>
      </c>
      <c r="R257" s="13">
        <v>0.16819999999999999</v>
      </c>
      <c r="S257" s="13"/>
      <c r="T257" s="13">
        <v>1.95E-2</v>
      </c>
      <c r="U257" s="14" t="s">
        <v>230</v>
      </c>
      <c r="V257" s="15">
        <f t="shared" si="11"/>
        <v>1</v>
      </c>
    </row>
    <row r="258" spans="2:22" x14ac:dyDescent="0.25">
      <c r="B258" s="7">
        <v>1880</v>
      </c>
      <c r="C258" s="7" t="s">
        <v>155</v>
      </c>
      <c r="D258" s="8" t="s">
        <v>227</v>
      </c>
      <c r="E258" s="7"/>
      <c r="F258" s="7" t="s">
        <v>237</v>
      </c>
      <c r="G258" s="9" t="s">
        <v>229</v>
      </c>
      <c r="H258" s="10">
        <v>44852</v>
      </c>
      <c r="I258" s="11">
        <f t="shared" si="9"/>
        <v>3960</v>
      </c>
      <c r="J258" s="11">
        <f t="shared" si="10"/>
        <v>40</v>
      </c>
      <c r="K258" s="11">
        <v>4000</v>
      </c>
      <c r="L258" s="12">
        <v>0.99</v>
      </c>
      <c r="M258" s="11">
        <v>82.25</v>
      </c>
      <c r="N258" s="11">
        <v>110.93</v>
      </c>
      <c r="O258" s="13">
        <v>2.92E-2</v>
      </c>
      <c r="P258" s="13">
        <v>0.19289999999999999</v>
      </c>
      <c r="Q258" s="13">
        <v>0.66100000000000003</v>
      </c>
      <c r="R258" s="13">
        <v>5.8200000000000002E-2</v>
      </c>
      <c r="S258" s="13"/>
      <c r="T258" s="13">
        <v>5.8799999999999998E-2</v>
      </c>
      <c r="U258" s="14" t="s">
        <v>230</v>
      </c>
      <c r="V258" s="15">
        <f t="shared" si="11"/>
        <v>1.0001</v>
      </c>
    </row>
    <row r="259" spans="2:22" ht="30" x14ac:dyDescent="0.25">
      <c r="B259" s="7">
        <v>1655</v>
      </c>
      <c r="C259" s="7" t="s">
        <v>156</v>
      </c>
      <c r="D259" s="8"/>
      <c r="E259" s="7"/>
      <c r="F259" s="7">
        <v>0</v>
      </c>
      <c r="G259" s="9">
        <v>0</v>
      </c>
      <c r="H259" s="10">
        <v>44753</v>
      </c>
      <c r="I259" s="16">
        <f t="shared" si="9"/>
        <v>1320</v>
      </c>
      <c r="J259" s="16">
        <f t="shared" si="10"/>
        <v>0</v>
      </c>
      <c r="K259" s="11">
        <v>1320</v>
      </c>
      <c r="L259" s="12">
        <v>1</v>
      </c>
      <c r="M259" s="11">
        <v>826.01</v>
      </c>
      <c r="N259" s="11">
        <v>2000.35</v>
      </c>
      <c r="O259" s="17">
        <v>1.83E-2</v>
      </c>
      <c r="P259" s="17">
        <v>0.22450000000000001</v>
      </c>
      <c r="Q259" s="17">
        <v>0.45839999999999997</v>
      </c>
      <c r="R259" s="17">
        <v>0.27889999999999998</v>
      </c>
      <c r="S259" s="17"/>
      <c r="T259" s="17">
        <v>0.02</v>
      </c>
      <c r="U259" s="7" t="s">
        <v>230</v>
      </c>
      <c r="V259" s="15">
        <f t="shared" si="11"/>
        <v>1.0001</v>
      </c>
    </row>
    <row r="260" spans="2:22" ht="30" x14ac:dyDescent="0.25">
      <c r="B260" s="7">
        <v>1651</v>
      </c>
      <c r="C260" s="7" t="s">
        <v>156</v>
      </c>
      <c r="D260" s="8" t="s">
        <v>227</v>
      </c>
      <c r="E260" s="7"/>
      <c r="F260" s="7">
        <v>0</v>
      </c>
      <c r="G260" s="9">
        <v>0</v>
      </c>
      <c r="H260" s="10">
        <v>44751</v>
      </c>
      <c r="I260" s="16">
        <f t="shared" si="9"/>
        <v>1320</v>
      </c>
      <c r="J260" s="16">
        <f t="shared" si="10"/>
        <v>0</v>
      </c>
      <c r="K260" s="11">
        <v>1320</v>
      </c>
      <c r="L260" s="12">
        <v>1</v>
      </c>
      <c r="M260" s="11">
        <v>752.46</v>
      </c>
      <c r="N260" s="11">
        <v>1799.09</v>
      </c>
      <c r="O260" s="17">
        <v>1.0500000000000001E-2</v>
      </c>
      <c r="P260" s="17">
        <v>0.13350000000000001</v>
      </c>
      <c r="Q260" s="17">
        <v>0.48730000000000001</v>
      </c>
      <c r="R260" s="17">
        <v>0.34949999999999998</v>
      </c>
      <c r="S260" s="17"/>
      <c r="T260" s="17">
        <v>1.9E-2</v>
      </c>
      <c r="U260" s="7" t="s">
        <v>230</v>
      </c>
      <c r="V260" s="15">
        <f t="shared" si="11"/>
        <v>0.99979999999999991</v>
      </c>
    </row>
    <row r="261" spans="2:22" ht="30" x14ac:dyDescent="0.25">
      <c r="B261" s="7">
        <v>1637</v>
      </c>
      <c r="C261" s="7" t="s">
        <v>156</v>
      </c>
      <c r="D261" s="8" t="s">
        <v>227</v>
      </c>
      <c r="E261" s="7"/>
      <c r="F261" s="7">
        <v>0</v>
      </c>
      <c r="G261" s="9">
        <v>0</v>
      </c>
      <c r="H261" s="10">
        <v>44743</v>
      </c>
      <c r="I261" s="16">
        <f t="shared" si="9"/>
        <v>2600</v>
      </c>
      <c r="J261" s="16">
        <f t="shared" si="10"/>
        <v>0</v>
      </c>
      <c r="K261" s="11">
        <v>2600</v>
      </c>
      <c r="L261" s="12">
        <v>1</v>
      </c>
      <c r="M261" s="11">
        <v>384.84</v>
      </c>
      <c r="N261" s="11">
        <v>659.46</v>
      </c>
      <c r="O261" s="17">
        <v>2.7300000000000001E-2</v>
      </c>
      <c r="P261" s="17">
        <v>0.32250000000000001</v>
      </c>
      <c r="Q261" s="17">
        <v>0.59489999999999998</v>
      </c>
      <c r="R261" s="17">
        <v>4.19E-2</v>
      </c>
      <c r="S261" s="17"/>
      <c r="T261" s="17">
        <v>1.34E-2</v>
      </c>
      <c r="U261" s="7" t="s">
        <v>230</v>
      </c>
      <c r="V261" s="15">
        <f t="shared" si="11"/>
        <v>1</v>
      </c>
    </row>
    <row r="262" spans="2:22" ht="30" x14ac:dyDescent="0.25">
      <c r="B262" s="7">
        <v>1734</v>
      </c>
      <c r="C262" s="7" t="s">
        <v>157</v>
      </c>
      <c r="D262" s="8" t="s">
        <v>227</v>
      </c>
      <c r="E262" s="7"/>
      <c r="F262" s="7">
        <v>0</v>
      </c>
      <c r="G262" s="9" t="s">
        <v>229</v>
      </c>
      <c r="H262" s="10">
        <v>44795</v>
      </c>
      <c r="I262" s="11">
        <f t="shared" si="9"/>
        <v>5985.36</v>
      </c>
      <c r="J262" s="11">
        <f t="shared" si="10"/>
        <v>134.64000000000033</v>
      </c>
      <c r="K262" s="11">
        <v>6120</v>
      </c>
      <c r="L262" s="12">
        <v>0.97799999999999998</v>
      </c>
      <c r="M262" s="11">
        <v>112.73</v>
      </c>
      <c r="N262" s="11">
        <v>1434.78</v>
      </c>
      <c r="O262" s="13">
        <v>1.6899999999999998E-2</v>
      </c>
      <c r="P262" s="13">
        <v>0.1158</v>
      </c>
      <c r="Q262" s="13">
        <v>0.51149999999999995</v>
      </c>
      <c r="R262" s="13">
        <v>0.27629999999999999</v>
      </c>
      <c r="S262" s="13"/>
      <c r="T262" s="13">
        <v>7.9500000000000001E-2</v>
      </c>
      <c r="U262" s="14" t="s">
        <v>230</v>
      </c>
      <c r="V262" s="15">
        <f t="shared" si="11"/>
        <v>0.99999999999999989</v>
      </c>
    </row>
    <row r="263" spans="2:22" ht="30" x14ac:dyDescent="0.25">
      <c r="B263" s="7">
        <v>1715</v>
      </c>
      <c r="C263" s="7" t="s">
        <v>158</v>
      </c>
      <c r="D263" s="8" t="s">
        <v>227</v>
      </c>
      <c r="E263" s="7"/>
      <c r="F263" s="7">
        <v>0</v>
      </c>
      <c r="G263" s="9" t="s">
        <v>229</v>
      </c>
      <c r="H263" s="10">
        <v>44781</v>
      </c>
      <c r="I263" s="11">
        <f t="shared" si="9"/>
        <v>4342.5</v>
      </c>
      <c r="J263" s="11">
        <f t="shared" si="10"/>
        <v>157.5</v>
      </c>
      <c r="K263" s="11">
        <v>4500</v>
      </c>
      <c r="L263" s="12">
        <v>0.96499999999999997</v>
      </c>
      <c r="M263" s="11">
        <v>118.8</v>
      </c>
      <c r="N263" s="11">
        <v>199.91</v>
      </c>
      <c r="O263" s="13">
        <v>5.4600000000000003E-2</v>
      </c>
      <c r="P263" s="13">
        <v>0.2205</v>
      </c>
      <c r="Q263" s="13">
        <v>0.54090000000000005</v>
      </c>
      <c r="R263" s="13">
        <v>0.1575</v>
      </c>
      <c r="S263" s="13"/>
      <c r="T263" s="13">
        <v>2.6599999999999999E-2</v>
      </c>
      <c r="U263" s="14" t="s">
        <v>230</v>
      </c>
      <c r="V263" s="15">
        <f t="shared" si="11"/>
        <v>1.0001</v>
      </c>
    </row>
    <row r="264" spans="2:22" ht="30" x14ac:dyDescent="0.25">
      <c r="B264" s="7">
        <v>428</v>
      </c>
      <c r="C264" s="7" t="s">
        <v>159</v>
      </c>
      <c r="D264" s="8" t="s">
        <v>227</v>
      </c>
      <c r="E264" s="7"/>
      <c r="F264" s="7" t="s">
        <v>308</v>
      </c>
      <c r="G264" s="9" t="s">
        <v>229</v>
      </c>
      <c r="H264" s="10">
        <v>44145</v>
      </c>
      <c r="I264" s="11">
        <v>2500.7288800000001</v>
      </c>
      <c r="J264" s="11">
        <v>134.39111999999977</v>
      </c>
      <c r="K264" s="11">
        <v>2635.12</v>
      </c>
      <c r="L264" s="12">
        <v>0.94900000000000007</v>
      </c>
      <c r="M264" s="11">
        <v>85.77</v>
      </c>
      <c r="N264" s="11">
        <v>156.97999999999999</v>
      </c>
      <c r="O264" s="13">
        <v>0.22900000000000001</v>
      </c>
      <c r="P264" s="13"/>
      <c r="Q264" s="13">
        <v>0.40550000000000003</v>
      </c>
      <c r="R264" s="13"/>
      <c r="S264" s="13">
        <v>0.2016</v>
      </c>
      <c r="T264" s="13">
        <v>0.16400000000000001</v>
      </c>
      <c r="U264" s="14" t="s">
        <v>230</v>
      </c>
      <c r="V264" s="15">
        <v>1.0001</v>
      </c>
    </row>
    <row r="265" spans="2:22" x14ac:dyDescent="0.25">
      <c r="B265" s="7" t="s">
        <v>258</v>
      </c>
      <c r="C265" s="7" t="s">
        <v>160</v>
      </c>
      <c r="D265" s="8" t="s">
        <v>227</v>
      </c>
      <c r="E265" s="7"/>
      <c r="F265" s="7">
        <v>0</v>
      </c>
      <c r="G265" s="9" t="s">
        <v>229</v>
      </c>
      <c r="H265" s="10">
        <v>44778</v>
      </c>
      <c r="I265" s="11">
        <f>K265*L265</f>
        <v>3039.12</v>
      </c>
      <c r="J265" s="11">
        <f>K265-I265</f>
        <v>310.88000000000011</v>
      </c>
      <c r="K265" s="11">
        <v>3350</v>
      </c>
      <c r="L265" s="12">
        <v>0.90720000000000001</v>
      </c>
      <c r="M265" s="11">
        <v>582.48</v>
      </c>
      <c r="N265" s="11">
        <v>1787.54</v>
      </c>
      <c r="O265" s="13">
        <v>1.15E-2</v>
      </c>
      <c r="P265" s="13">
        <v>0.1671</v>
      </c>
      <c r="Q265" s="13">
        <v>0.61670000000000003</v>
      </c>
      <c r="R265" s="13">
        <v>0.18329999999999999</v>
      </c>
      <c r="S265" s="13"/>
      <c r="T265" s="13">
        <v>2.1399999999999999E-2</v>
      </c>
      <c r="U265" s="14" t="s">
        <v>230</v>
      </c>
      <c r="V265" s="15">
        <f>SUM(O265:T265)</f>
        <v>1</v>
      </c>
    </row>
    <row r="266" spans="2:22" x14ac:dyDescent="0.25">
      <c r="B266" s="7">
        <v>882</v>
      </c>
      <c r="C266" s="7" t="s">
        <v>161</v>
      </c>
      <c r="D266" s="8" t="s">
        <v>227</v>
      </c>
      <c r="E266" s="7"/>
      <c r="F266" s="7" t="s">
        <v>232</v>
      </c>
      <c r="G266" s="9" t="s">
        <v>233</v>
      </c>
      <c r="H266" s="10">
        <v>44259</v>
      </c>
      <c r="I266" s="11">
        <v>2504.25</v>
      </c>
      <c r="J266" s="11">
        <v>145.75</v>
      </c>
      <c r="K266" s="11">
        <v>2650</v>
      </c>
      <c r="L266" s="12">
        <v>0.94499999999999995</v>
      </c>
      <c r="M266" s="11">
        <v>3034.61</v>
      </c>
      <c r="N266" s="11">
        <v>6849.44</v>
      </c>
      <c r="O266" s="13">
        <v>0.18970000000000001</v>
      </c>
      <c r="P266" s="13"/>
      <c r="Q266" s="13">
        <v>0.69340000000000002</v>
      </c>
      <c r="R266" s="13"/>
      <c r="S266" s="13">
        <v>0.1139</v>
      </c>
      <c r="T266" s="13">
        <v>3.0999999999999999E-3</v>
      </c>
      <c r="U266" s="14" t="s">
        <v>230</v>
      </c>
      <c r="V266" s="15">
        <v>1.0001</v>
      </c>
    </row>
    <row r="267" spans="2:22" ht="30" x14ac:dyDescent="0.25">
      <c r="B267" s="7">
        <v>449</v>
      </c>
      <c r="C267" s="7" t="s">
        <v>161</v>
      </c>
      <c r="D267" s="8" t="s">
        <v>227</v>
      </c>
      <c r="E267" s="7"/>
      <c r="F267" s="7" t="s">
        <v>232</v>
      </c>
      <c r="G267" s="9" t="s">
        <v>233</v>
      </c>
      <c r="H267" s="10">
        <v>44152</v>
      </c>
      <c r="I267" s="11">
        <v>2504.25</v>
      </c>
      <c r="J267" s="11">
        <v>145.75</v>
      </c>
      <c r="K267" s="11">
        <v>2650</v>
      </c>
      <c r="L267" s="12">
        <v>0.94499999999999995</v>
      </c>
      <c r="M267" s="11">
        <v>82.86</v>
      </c>
      <c r="N267" s="11">
        <v>167.91</v>
      </c>
      <c r="O267" s="13">
        <v>4.4900000000000002E-2</v>
      </c>
      <c r="P267" s="13"/>
      <c r="Q267" s="13">
        <v>0.29349999999999998</v>
      </c>
      <c r="R267" s="13"/>
      <c r="S267" s="13">
        <v>0.32679999999999998</v>
      </c>
      <c r="T267" s="13">
        <v>0.33479999999999999</v>
      </c>
      <c r="U267" s="14" t="s">
        <v>247</v>
      </c>
      <c r="V267" s="15">
        <v>1</v>
      </c>
    </row>
    <row r="268" spans="2:22" ht="30" x14ac:dyDescent="0.25">
      <c r="B268" s="7">
        <v>593</v>
      </c>
      <c r="C268" s="7" t="s">
        <v>162</v>
      </c>
      <c r="D268" s="8" t="s">
        <v>227</v>
      </c>
      <c r="E268" s="7"/>
      <c r="F268" s="7" t="s">
        <v>300</v>
      </c>
      <c r="G268" s="9" t="s">
        <v>229</v>
      </c>
      <c r="H268" s="10">
        <v>44194</v>
      </c>
      <c r="I268" s="11">
        <v>768.40807999999993</v>
      </c>
      <c r="J268" s="11">
        <v>25.401920000000018</v>
      </c>
      <c r="K268" s="11">
        <v>793.81</v>
      </c>
      <c r="L268" s="12">
        <v>0.96799999999999997</v>
      </c>
      <c r="M268" s="11">
        <v>112.49</v>
      </c>
      <c r="N268" s="11">
        <v>113.07</v>
      </c>
      <c r="O268" s="13">
        <v>2.52E-2</v>
      </c>
      <c r="P268" s="13"/>
      <c r="Q268" s="13">
        <v>9.0499999999999997E-2</v>
      </c>
      <c r="R268" s="13"/>
      <c r="S268" s="13">
        <v>0.4047</v>
      </c>
      <c r="T268" s="13">
        <v>0.47949999999999998</v>
      </c>
      <c r="U268" s="14" t="s">
        <v>230</v>
      </c>
      <c r="V268" s="15">
        <v>0.99990000000000001</v>
      </c>
    </row>
    <row r="269" spans="2:22" ht="30" x14ac:dyDescent="0.25">
      <c r="B269" s="7">
        <v>629</v>
      </c>
      <c r="C269" s="7" t="s">
        <v>162</v>
      </c>
      <c r="D269" s="8" t="s">
        <v>227</v>
      </c>
      <c r="E269" s="7"/>
      <c r="F269" s="7" t="s">
        <v>300</v>
      </c>
      <c r="G269" s="9" t="s">
        <v>229</v>
      </c>
      <c r="H269" s="10">
        <v>44203</v>
      </c>
      <c r="I269" s="11">
        <v>768.40807999999993</v>
      </c>
      <c r="J269" s="11">
        <v>25.401920000000018</v>
      </c>
      <c r="K269" s="11">
        <v>793.81</v>
      </c>
      <c r="L269" s="12">
        <v>0.96799999999999997</v>
      </c>
      <c r="M269" s="11">
        <v>102.51</v>
      </c>
      <c r="N269" s="11">
        <v>103.01</v>
      </c>
      <c r="O269" s="13">
        <v>2.18E-2</v>
      </c>
      <c r="P269" s="13"/>
      <c r="Q269" s="13">
        <v>0.23319999999999999</v>
      </c>
      <c r="R269" s="13"/>
      <c r="S269" s="13">
        <v>0.42</v>
      </c>
      <c r="T269" s="13">
        <v>0.32500000000000001</v>
      </c>
      <c r="U269" s="14" t="s">
        <v>230</v>
      </c>
      <c r="V269" s="15">
        <v>1</v>
      </c>
    </row>
    <row r="270" spans="2:22" ht="30" x14ac:dyDescent="0.25">
      <c r="B270" s="7">
        <v>2103</v>
      </c>
      <c r="C270" s="7" t="s">
        <v>163</v>
      </c>
      <c r="D270" s="8" t="s">
        <v>227</v>
      </c>
      <c r="E270" s="7"/>
      <c r="F270" s="7">
        <f>IFERROR(VLOOKUP(C270,[2]Sheet1!$B$3:$I$1048576,7,FALSE),0)</f>
        <v>0</v>
      </c>
      <c r="G270" s="9">
        <f>IFERROR(VLOOKUP(C270,[2]Sheet1!$B$3:$K$1048576,9,FALSE),0)</f>
        <v>0</v>
      </c>
      <c r="H270" s="10">
        <v>45026</v>
      </c>
      <c r="I270" s="11">
        <f>K270*L270</f>
        <v>23951.975308000001</v>
      </c>
      <c r="J270" s="11">
        <f>K270-I270</f>
        <v>91.364691999999195</v>
      </c>
      <c r="K270" s="11">
        <v>24043.34</v>
      </c>
      <c r="L270" s="12">
        <v>0.99620000000000009</v>
      </c>
      <c r="M270" s="11">
        <v>282.31244192570711</v>
      </c>
      <c r="N270" s="11">
        <v>472.47246919145994</v>
      </c>
      <c r="O270" s="13">
        <v>2.1867407150295035E-2</v>
      </c>
      <c r="P270" s="13">
        <v>6.4908018049288446E-2</v>
      </c>
      <c r="Q270" s="13">
        <v>0.20895522388059698</v>
      </c>
      <c r="R270" s="13">
        <v>0.28115237764665046</v>
      </c>
      <c r="S270" s="13"/>
      <c r="T270" s="13">
        <v>0.42311697327316899</v>
      </c>
      <c r="U270" s="14" t="s">
        <v>230</v>
      </c>
      <c r="V270" s="15">
        <f>SUM(O270:T270)</f>
        <v>0.99999999999999989</v>
      </c>
    </row>
    <row r="271" spans="2:22" ht="30" x14ac:dyDescent="0.25">
      <c r="B271" s="7">
        <v>870</v>
      </c>
      <c r="C271" s="7" t="s">
        <v>164</v>
      </c>
      <c r="D271" s="8" t="s">
        <v>227</v>
      </c>
      <c r="E271" s="7"/>
      <c r="F271" s="7" t="s">
        <v>280</v>
      </c>
      <c r="G271" s="9" t="s">
        <v>229</v>
      </c>
      <c r="H271" s="10">
        <v>44257</v>
      </c>
      <c r="I271" s="11">
        <v>24454.579811000003</v>
      </c>
      <c r="J271" s="11">
        <v>140.19018899999719</v>
      </c>
      <c r="K271" s="11">
        <v>24594.77</v>
      </c>
      <c r="L271" s="12">
        <v>0.99430000000000007</v>
      </c>
      <c r="M271" s="11">
        <v>211.28</v>
      </c>
      <c r="N271" s="11">
        <v>931.08</v>
      </c>
      <c r="O271" s="13">
        <v>3.8600000000000002E-2</v>
      </c>
      <c r="P271" s="13"/>
      <c r="Q271" s="13">
        <v>0.1525</v>
      </c>
      <c r="R271" s="13"/>
      <c r="S271" s="13">
        <v>0.40100000000000002</v>
      </c>
      <c r="T271" s="13">
        <v>0.40789999999999998</v>
      </c>
      <c r="U271" s="14" t="s">
        <v>230</v>
      </c>
      <c r="V271" s="15">
        <v>1</v>
      </c>
    </row>
    <row r="272" spans="2:22" ht="30" x14ac:dyDescent="0.25">
      <c r="B272" s="7">
        <v>524</v>
      </c>
      <c r="C272" s="7" t="s">
        <v>165</v>
      </c>
      <c r="D272" s="8" t="s">
        <v>227</v>
      </c>
      <c r="E272" s="7"/>
      <c r="F272" s="7" t="s">
        <v>242</v>
      </c>
      <c r="G272" s="9" t="s">
        <v>229</v>
      </c>
      <c r="H272" s="10">
        <v>44179</v>
      </c>
      <c r="I272" s="11">
        <v>2058.36204</v>
      </c>
      <c r="J272" s="11">
        <v>57.117960000000039</v>
      </c>
      <c r="K272" s="11">
        <v>2115.48</v>
      </c>
      <c r="L272" s="12">
        <v>0.97299999999999998</v>
      </c>
      <c r="M272" s="11">
        <v>401.82</v>
      </c>
      <c r="N272" s="11">
        <v>1125.3699999999999</v>
      </c>
      <c r="O272" s="13">
        <v>0.60680000000000001</v>
      </c>
      <c r="P272" s="13"/>
      <c r="Q272" s="13">
        <v>0.35399999999999998</v>
      </c>
      <c r="R272" s="13"/>
      <c r="S272" s="13">
        <v>2.2700000000000001E-2</v>
      </c>
      <c r="T272" s="13">
        <v>1.6500000000000001E-2</v>
      </c>
      <c r="U272" s="14" t="s">
        <v>230</v>
      </c>
      <c r="V272" s="15">
        <v>1</v>
      </c>
    </row>
    <row r="273" spans="2:22" ht="30" x14ac:dyDescent="0.25">
      <c r="B273" s="7">
        <v>526</v>
      </c>
      <c r="C273" s="7" t="s">
        <v>166</v>
      </c>
      <c r="D273" s="8"/>
      <c r="E273" s="7"/>
      <c r="F273" s="7" t="s">
        <v>234</v>
      </c>
      <c r="G273" s="9" t="s">
        <v>229</v>
      </c>
      <c r="H273" s="10">
        <v>44179</v>
      </c>
      <c r="I273" s="11">
        <v>45</v>
      </c>
      <c r="J273" s="11">
        <v>105</v>
      </c>
      <c r="K273" s="11">
        <v>150</v>
      </c>
      <c r="L273" s="12">
        <v>0.3</v>
      </c>
      <c r="M273" s="11">
        <v>118.5</v>
      </c>
      <c r="N273" s="11">
        <v>188.29</v>
      </c>
      <c r="O273" s="13">
        <v>0.34339999999999998</v>
      </c>
      <c r="P273" s="13"/>
      <c r="Q273" s="13">
        <v>0.50180000000000002</v>
      </c>
      <c r="R273" s="13"/>
      <c r="S273" s="13">
        <v>8.3400000000000002E-2</v>
      </c>
      <c r="T273" s="13">
        <v>7.1300000000000002E-2</v>
      </c>
      <c r="U273" s="14" t="s">
        <v>230</v>
      </c>
      <c r="V273" s="15">
        <v>0.99990000000000001</v>
      </c>
    </row>
    <row r="274" spans="2:22" ht="30" x14ac:dyDescent="0.25">
      <c r="B274" s="7">
        <v>1897</v>
      </c>
      <c r="C274" s="7" t="s">
        <v>167</v>
      </c>
      <c r="D274" s="8" t="s">
        <v>227</v>
      </c>
      <c r="E274" s="7"/>
      <c r="F274" s="7">
        <v>0</v>
      </c>
      <c r="G274" s="9" t="s">
        <v>229</v>
      </c>
      <c r="H274" s="10">
        <v>44859</v>
      </c>
      <c r="I274" s="11">
        <f>K274*L274</f>
        <v>240</v>
      </c>
      <c r="J274" s="11">
        <f>K274-I274</f>
        <v>60</v>
      </c>
      <c r="K274" s="11">
        <v>300</v>
      </c>
      <c r="L274" s="12">
        <v>0.8</v>
      </c>
      <c r="M274" s="11">
        <v>367.53</v>
      </c>
      <c r="N274" s="11">
        <v>480.66</v>
      </c>
      <c r="O274" s="13">
        <v>6.5299999999999997E-2</v>
      </c>
      <c r="P274" s="13">
        <v>0.5907</v>
      </c>
      <c r="Q274" s="13">
        <v>0.32869999999999999</v>
      </c>
      <c r="R274" s="13">
        <v>1.09E-2</v>
      </c>
      <c r="S274" s="13"/>
      <c r="T274" s="13">
        <v>4.4999999999999997E-3</v>
      </c>
      <c r="U274" s="14" t="s">
        <v>230</v>
      </c>
      <c r="V274" s="15">
        <f>SUM(O274:T274)</f>
        <v>1.0001</v>
      </c>
    </row>
    <row r="275" spans="2:22" ht="30" x14ac:dyDescent="0.25">
      <c r="B275" s="7">
        <v>1899</v>
      </c>
      <c r="C275" s="7" t="s">
        <v>167</v>
      </c>
      <c r="D275" s="8" t="s">
        <v>227</v>
      </c>
      <c r="E275" s="7"/>
      <c r="F275" s="7">
        <v>0</v>
      </c>
      <c r="G275" s="9" t="s">
        <v>229</v>
      </c>
      <c r="H275" s="10">
        <v>44860</v>
      </c>
      <c r="I275" s="11">
        <f>K275*L275</f>
        <v>240</v>
      </c>
      <c r="J275" s="11">
        <f>K275-I275</f>
        <v>60</v>
      </c>
      <c r="K275" s="11">
        <v>300</v>
      </c>
      <c r="L275" s="12">
        <v>0.8</v>
      </c>
      <c r="M275" s="11">
        <v>290.52</v>
      </c>
      <c r="N275" s="11">
        <v>733.86</v>
      </c>
      <c r="O275" s="13">
        <v>6.9199999999999998E-2</v>
      </c>
      <c r="P275" s="13">
        <v>0.32300000000000001</v>
      </c>
      <c r="Q275" s="13">
        <v>0.54159999999999997</v>
      </c>
      <c r="R275" s="13">
        <v>3.4000000000000002E-2</v>
      </c>
      <c r="S275" s="13"/>
      <c r="T275" s="13">
        <v>3.2300000000000002E-2</v>
      </c>
      <c r="U275" s="14" t="s">
        <v>230</v>
      </c>
      <c r="V275" s="15">
        <f>SUM(O275:T275)</f>
        <v>1.0001</v>
      </c>
    </row>
    <row r="276" spans="2:22" ht="30" x14ac:dyDescent="0.25">
      <c r="B276" s="7">
        <v>1879</v>
      </c>
      <c r="C276" s="7" t="s">
        <v>167</v>
      </c>
      <c r="D276" s="8" t="s">
        <v>227</v>
      </c>
      <c r="E276" s="7"/>
      <c r="F276" s="7">
        <v>0</v>
      </c>
      <c r="G276" s="9" t="s">
        <v>229</v>
      </c>
      <c r="H276" s="10">
        <v>44852</v>
      </c>
      <c r="I276" s="11">
        <f>K276*L276</f>
        <v>240</v>
      </c>
      <c r="J276" s="11">
        <f>K276-I276</f>
        <v>60</v>
      </c>
      <c r="K276" s="11">
        <v>300</v>
      </c>
      <c r="L276" s="12">
        <v>0.8</v>
      </c>
      <c r="M276" s="11">
        <v>158.6</v>
      </c>
      <c r="N276" s="11">
        <v>211.89</v>
      </c>
      <c r="O276" s="13">
        <v>4.02E-2</v>
      </c>
      <c r="P276" s="13">
        <v>0.45469999999999999</v>
      </c>
      <c r="Q276" s="13">
        <v>0.3599</v>
      </c>
      <c r="R276" s="13">
        <v>9.9599999999999994E-2</v>
      </c>
      <c r="S276" s="13"/>
      <c r="T276" s="13">
        <v>4.5600000000000002E-2</v>
      </c>
      <c r="U276" s="14" t="s">
        <v>230</v>
      </c>
      <c r="V276" s="15">
        <f>SUM(O276:T276)</f>
        <v>1</v>
      </c>
    </row>
    <row r="277" spans="2:22" ht="30" x14ac:dyDescent="0.25">
      <c r="B277" s="7">
        <v>1901</v>
      </c>
      <c r="C277" s="7" t="s">
        <v>167</v>
      </c>
      <c r="D277" s="8" t="s">
        <v>227</v>
      </c>
      <c r="E277" s="7"/>
      <c r="F277" s="7">
        <v>0</v>
      </c>
      <c r="G277" s="9" t="s">
        <v>229</v>
      </c>
      <c r="H277" s="10">
        <v>44861</v>
      </c>
      <c r="I277" s="11">
        <f>K277*L277</f>
        <v>240</v>
      </c>
      <c r="J277" s="11">
        <f>K277-I277</f>
        <v>60</v>
      </c>
      <c r="K277" s="11">
        <v>300</v>
      </c>
      <c r="L277" s="12">
        <v>0.8</v>
      </c>
      <c r="M277" s="11">
        <v>127.19</v>
      </c>
      <c r="N277" s="11">
        <v>348.68</v>
      </c>
      <c r="O277" s="13">
        <v>0.17460000000000001</v>
      </c>
      <c r="P277" s="13">
        <v>0.3836</v>
      </c>
      <c r="Q277" s="13">
        <v>0.40679999999999999</v>
      </c>
      <c r="R277" s="13">
        <v>2.06E-2</v>
      </c>
      <c r="S277" s="13"/>
      <c r="T277" s="13">
        <v>1.44E-2</v>
      </c>
      <c r="U277" s="14" t="s">
        <v>230</v>
      </c>
      <c r="V277" s="15">
        <f>SUM(O277:T277)</f>
        <v>1</v>
      </c>
    </row>
    <row r="278" spans="2:22" ht="30" x14ac:dyDescent="0.25">
      <c r="B278" s="7">
        <v>1902</v>
      </c>
      <c r="C278" s="7" t="s">
        <v>167</v>
      </c>
      <c r="D278" s="8" t="s">
        <v>227</v>
      </c>
      <c r="E278" s="7"/>
      <c r="F278" s="7">
        <v>0</v>
      </c>
      <c r="G278" s="9" t="s">
        <v>229</v>
      </c>
      <c r="H278" s="10">
        <v>44862</v>
      </c>
      <c r="I278" s="11">
        <f>K278*L278</f>
        <v>240</v>
      </c>
      <c r="J278" s="11">
        <f>K278-I278</f>
        <v>60</v>
      </c>
      <c r="K278" s="11">
        <v>300</v>
      </c>
      <c r="L278" s="12">
        <v>0.8</v>
      </c>
      <c r="M278" s="11">
        <v>112.74</v>
      </c>
      <c r="N278" s="11">
        <v>165.24</v>
      </c>
      <c r="O278" s="13">
        <v>0.18909999999999999</v>
      </c>
      <c r="P278" s="13">
        <v>0.58240000000000003</v>
      </c>
      <c r="Q278" s="13">
        <v>0.2198</v>
      </c>
      <c r="R278" s="13">
        <v>5.1000000000000004E-3</v>
      </c>
      <c r="S278" s="13"/>
      <c r="T278" s="13">
        <v>3.5999999999999999E-3</v>
      </c>
      <c r="U278" s="14" t="s">
        <v>230</v>
      </c>
      <c r="V278" s="15">
        <f>SUM(O278:T278)</f>
        <v>1</v>
      </c>
    </row>
    <row r="279" spans="2:22" ht="30" x14ac:dyDescent="0.25">
      <c r="B279" s="7">
        <v>702</v>
      </c>
      <c r="C279" s="7" t="s">
        <v>168</v>
      </c>
      <c r="D279" s="8" t="s">
        <v>227</v>
      </c>
      <c r="E279" s="7"/>
      <c r="F279" s="7" t="s">
        <v>249</v>
      </c>
      <c r="G279" s="9" t="s">
        <v>229</v>
      </c>
      <c r="H279" s="10">
        <v>44222</v>
      </c>
      <c r="I279" s="11">
        <v>614.66120000000001</v>
      </c>
      <c r="J279" s="11">
        <v>53.448800000000006</v>
      </c>
      <c r="K279" s="11">
        <v>668.11</v>
      </c>
      <c r="L279" s="12">
        <v>0.92</v>
      </c>
      <c r="M279" s="11">
        <v>898.97</v>
      </c>
      <c r="N279" s="11">
        <v>1380.31</v>
      </c>
      <c r="O279" s="13">
        <v>5.8700000000000002E-2</v>
      </c>
      <c r="P279" s="13"/>
      <c r="Q279" s="13">
        <v>0.20669999999999999</v>
      </c>
      <c r="R279" s="13"/>
      <c r="S279" s="13">
        <v>0.50239999999999996</v>
      </c>
      <c r="T279" s="13">
        <v>0.23219999999999999</v>
      </c>
      <c r="U279" s="14" t="s">
        <v>230</v>
      </c>
      <c r="V279" s="15">
        <v>0.99999999999999989</v>
      </c>
    </row>
    <row r="280" spans="2:22" x14ac:dyDescent="0.25">
      <c r="B280" s="7">
        <v>848</v>
      </c>
      <c r="C280" s="7" t="s">
        <v>169</v>
      </c>
      <c r="D280" s="8" t="s">
        <v>227</v>
      </c>
      <c r="E280" s="7"/>
      <c r="F280" s="7" t="s">
        <v>242</v>
      </c>
      <c r="G280" s="9" t="s">
        <v>229</v>
      </c>
      <c r="H280" s="10">
        <v>44252</v>
      </c>
      <c r="I280" s="11">
        <v>2234.6497999999997</v>
      </c>
      <c r="J280" s="11">
        <v>34.03020000000015</v>
      </c>
      <c r="K280" s="11">
        <v>2268.6799999999998</v>
      </c>
      <c r="L280" s="12">
        <v>0.98499999999999999</v>
      </c>
      <c r="M280" s="11">
        <v>1504.52</v>
      </c>
      <c r="N280" s="11">
        <v>4086.17</v>
      </c>
      <c r="O280" s="13">
        <v>0.18970000000000001</v>
      </c>
      <c r="P280" s="13"/>
      <c r="Q280" s="13">
        <v>0.34260000000000002</v>
      </c>
      <c r="R280" s="13"/>
      <c r="S280" s="13">
        <v>0.30149999999999999</v>
      </c>
      <c r="T280" s="13">
        <v>0.16619999999999999</v>
      </c>
      <c r="U280" s="14" t="s">
        <v>230</v>
      </c>
      <c r="V280" s="15">
        <v>1</v>
      </c>
    </row>
    <row r="281" spans="2:22" x14ac:dyDescent="0.25">
      <c r="B281" s="7">
        <v>1896</v>
      </c>
      <c r="C281" s="7" t="s">
        <v>170</v>
      </c>
      <c r="D281" s="8" t="s">
        <v>227</v>
      </c>
      <c r="E281" s="7"/>
      <c r="F281" s="7" t="s">
        <v>238</v>
      </c>
      <c r="G281" s="9" t="s">
        <v>229</v>
      </c>
      <c r="H281" s="10">
        <v>44859</v>
      </c>
      <c r="I281" s="11">
        <f t="shared" ref="I281:I288" si="12">K281*L281</f>
        <v>1547.1</v>
      </c>
      <c r="J281" s="11">
        <f t="shared" ref="J281:J288" si="13">K281-I281</f>
        <v>72.900000000000091</v>
      </c>
      <c r="K281" s="11">
        <v>1620</v>
      </c>
      <c r="L281" s="12">
        <v>0.95499999999999996</v>
      </c>
      <c r="M281" s="11">
        <v>1963.33</v>
      </c>
      <c r="N281" s="11">
        <v>4784.5600000000004</v>
      </c>
      <c r="O281" s="13">
        <v>6.1899999999999997E-2</v>
      </c>
      <c r="P281" s="13">
        <v>0.46610000000000001</v>
      </c>
      <c r="Q281" s="13">
        <v>0.45540000000000003</v>
      </c>
      <c r="R281" s="13">
        <v>1.11E-2</v>
      </c>
      <c r="S281" s="13"/>
      <c r="T281" s="13">
        <v>5.4000000000000003E-3</v>
      </c>
      <c r="U281" s="14" t="s">
        <v>230</v>
      </c>
      <c r="V281" s="15">
        <f t="shared" ref="V281:V288" si="14">SUM(O281:T281)</f>
        <v>0.99990000000000001</v>
      </c>
    </row>
    <row r="282" spans="2:22" ht="30" x14ac:dyDescent="0.25">
      <c r="B282" s="7">
        <v>1900</v>
      </c>
      <c r="C282" s="7" t="s">
        <v>170</v>
      </c>
      <c r="D282" s="8" t="s">
        <v>227</v>
      </c>
      <c r="E282" s="7"/>
      <c r="F282" s="7" t="s">
        <v>238</v>
      </c>
      <c r="G282" s="9" t="s">
        <v>229</v>
      </c>
      <c r="H282" s="10">
        <v>44861</v>
      </c>
      <c r="I282" s="11">
        <f t="shared" si="12"/>
        <v>1547.1</v>
      </c>
      <c r="J282" s="11">
        <f t="shared" si="13"/>
        <v>72.900000000000091</v>
      </c>
      <c r="K282" s="11">
        <v>1620</v>
      </c>
      <c r="L282" s="12">
        <v>0.95499999999999996</v>
      </c>
      <c r="M282" s="11">
        <v>1578.18</v>
      </c>
      <c r="N282" s="11">
        <v>3907.17</v>
      </c>
      <c r="O282" s="13">
        <v>3.1300000000000001E-2</v>
      </c>
      <c r="P282" s="13">
        <v>0.25929999999999997</v>
      </c>
      <c r="Q282" s="13">
        <v>0.69389999999999996</v>
      </c>
      <c r="R282" s="13">
        <v>1.2500000000000001E-2</v>
      </c>
      <c r="S282" s="13"/>
      <c r="T282" s="13">
        <v>2.8999999999999998E-3</v>
      </c>
      <c r="U282" s="14" t="s">
        <v>230</v>
      </c>
      <c r="V282" s="15">
        <f t="shared" si="14"/>
        <v>0.9998999999999999</v>
      </c>
    </row>
    <row r="283" spans="2:22" ht="30" x14ac:dyDescent="0.25">
      <c r="B283" s="7">
        <v>1898</v>
      </c>
      <c r="C283" s="7" t="s">
        <v>170</v>
      </c>
      <c r="D283" s="8" t="s">
        <v>227</v>
      </c>
      <c r="E283" s="7"/>
      <c r="F283" s="7" t="s">
        <v>238</v>
      </c>
      <c r="G283" s="9" t="s">
        <v>229</v>
      </c>
      <c r="H283" s="10">
        <v>44860</v>
      </c>
      <c r="I283" s="11">
        <f t="shared" si="12"/>
        <v>1547.1</v>
      </c>
      <c r="J283" s="11">
        <f t="shared" si="13"/>
        <v>72.900000000000091</v>
      </c>
      <c r="K283" s="11">
        <v>1620</v>
      </c>
      <c r="L283" s="12">
        <v>0.95499999999999996</v>
      </c>
      <c r="M283" s="11">
        <v>1229.0899999999999</v>
      </c>
      <c r="N283" s="11">
        <v>1771.21</v>
      </c>
      <c r="O283" s="13">
        <v>4.8099999999999997E-2</v>
      </c>
      <c r="P283" s="13">
        <v>0.3997</v>
      </c>
      <c r="Q283" s="13">
        <v>0.49930000000000002</v>
      </c>
      <c r="R283" s="13">
        <v>3.7499999999999999E-2</v>
      </c>
      <c r="S283" s="13"/>
      <c r="T283" s="13">
        <v>1.54E-2</v>
      </c>
      <c r="U283" s="14" t="s">
        <v>230</v>
      </c>
      <c r="V283" s="15">
        <f t="shared" si="14"/>
        <v>1</v>
      </c>
    </row>
    <row r="284" spans="2:22" ht="30" x14ac:dyDescent="0.25">
      <c r="B284" s="7">
        <v>1903</v>
      </c>
      <c r="C284" s="7" t="s">
        <v>170</v>
      </c>
      <c r="D284" s="8" t="s">
        <v>227</v>
      </c>
      <c r="E284" s="7"/>
      <c r="F284" s="7" t="s">
        <v>238</v>
      </c>
      <c r="G284" s="9" t="s">
        <v>229</v>
      </c>
      <c r="H284" s="10">
        <v>44862</v>
      </c>
      <c r="I284" s="11">
        <f t="shared" si="12"/>
        <v>1547.1</v>
      </c>
      <c r="J284" s="11">
        <f t="shared" si="13"/>
        <v>72.900000000000091</v>
      </c>
      <c r="K284" s="11">
        <v>1620</v>
      </c>
      <c r="L284" s="12">
        <v>0.95499999999999996</v>
      </c>
      <c r="M284" s="11">
        <v>1021.6</v>
      </c>
      <c r="N284" s="11">
        <v>1706.26</v>
      </c>
      <c r="O284" s="13">
        <v>4.3400000000000001E-2</v>
      </c>
      <c r="P284" s="13">
        <v>0.2838</v>
      </c>
      <c r="Q284" s="13">
        <v>0.54849999999999999</v>
      </c>
      <c r="R284" s="13">
        <v>0.11890000000000001</v>
      </c>
      <c r="S284" s="13"/>
      <c r="T284" s="13">
        <v>5.4999999999999997E-3</v>
      </c>
      <c r="U284" s="14" t="s">
        <v>230</v>
      </c>
      <c r="V284" s="15">
        <f t="shared" si="14"/>
        <v>1.0001</v>
      </c>
    </row>
    <row r="285" spans="2:22" ht="30" x14ac:dyDescent="0.25">
      <c r="B285" s="7">
        <v>1881</v>
      </c>
      <c r="C285" s="7" t="s">
        <v>170</v>
      </c>
      <c r="D285" s="8" t="s">
        <v>227</v>
      </c>
      <c r="E285" s="7"/>
      <c r="F285" s="7" t="s">
        <v>238</v>
      </c>
      <c r="G285" s="9" t="s">
        <v>229</v>
      </c>
      <c r="H285" s="10">
        <v>44852</v>
      </c>
      <c r="I285" s="11">
        <f t="shared" si="12"/>
        <v>1547.1</v>
      </c>
      <c r="J285" s="11">
        <f t="shared" si="13"/>
        <v>72.900000000000091</v>
      </c>
      <c r="K285" s="11">
        <v>1620</v>
      </c>
      <c r="L285" s="12">
        <v>0.95499999999999996</v>
      </c>
      <c r="M285" s="11">
        <v>329.58</v>
      </c>
      <c r="N285" s="11">
        <v>542.12</v>
      </c>
      <c r="O285" s="13">
        <v>5.9499999999999997E-2</v>
      </c>
      <c r="P285" s="13">
        <v>0.71099999999999997</v>
      </c>
      <c r="Q285" s="13">
        <v>0.21540000000000001</v>
      </c>
      <c r="R285" s="13">
        <v>1.0699999999999999E-2</v>
      </c>
      <c r="S285" s="13"/>
      <c r="T285" s="13">
        <v>3.3E-3</v>
      </c>
      <c r="U285" s="14" t="s">
        <v>230</v>
      </c>
      <c r="V285" s="15">
        <f t="shared" si="14"/>
        <v>0.99990000000000001</v>
      </c>
    </row>
    <row r="286" spans="2:22" ht="30" x14ac:dyDescent="0.25">
      <c r="B286" s="7">
        <v>1911</v>
      </c>
      <c r="C286" s="7" t="s">
        <v>170</v>
      </c>
      <c r="D286" s="8" t="s">
        <v>227</v>
      </c>
      <c r="E286" s="7"/>
      <c r="F286" s="7" t="s">
        <v>238</v>
      </c>
      <c r="G286" s="9" t="s">
        <v>229</v>
      </c>
      <c r="H286" s="10">
        <v>44868</v>
      </c>
      <c r="I286" s="11">
        <f t="shared" si="12"/>
        <v>1547.1</v>
      </c>
      <c r="J286" s="11">
        <f t="shared" si="13"/>
        <v>72.900000000000091</v>
      </c>
      <c r="K286" s="11">
        <v>1620</v>
      </c>
      <c r="L286" s="12">
        <v>0.95499999999999996</v>
      </c>
      <c r="M286" s="11">
        <v>310.33999999999997</v>
      </c>
      <c r="N286" s="11">
        <v>409.56</v>
      </c>
      <c r="O286" s="13">
        <v>4.1599999999999998E-2</v>
      </c>
      <c r="P286" s="13">
        <v>0.2276</v>
      </c>
      <c r="Q286" s="13">
        <v>0.59089999999999998</v>
      </c>
      <c r="R286" s="13">
        <v>0.13159999999999999</v>
      </c>
      <c r="S286" s="13"/>
      <c r="T286" s="13">
        <v>8.3000000000000001E-3</v>
      </c>
      <c r="U286" s="14" t="s">
        <v>230</v>
      </c>
      <c r="V286" s="15">
        <f t="shared" si="14"/>
        <v>1</v>
      </c>
    </row>
    <row r="287" spans="2:22" ht="30" x14ac:dyDescent="0.25">
      <c r="B287" s="7">
        <v>2029</v>
      </c>
      <c r="C287" s="7" t="s">
        <v>170</v>
      </c>
      <c r="D287" s="8" t="s">
        <v>227</v>
      </c>
      <c r="E287" s="7"/>
      <c r="F287" s="7" t="s">
        <v>238</v>
      </c>
      <c r="G287" s="9" t="s">
        <v>229</v>
      </c>
      <c r="H287" s="10">
        <v>44925</v>
      </c>
      <c r="I287" s="11">
        <f t="shared" si="12"/>
        <v>1547.1</v>
      </c>
      <c r="J287" s="11">
        <f t="shared" si="13"/>
        <v>72.900000000000091</v>
      </c>
      <c r="K287" s="11">
        <v>1620</v>
      </c>
      <c r="L287" s="12">
        <v>0.95499999999999996</v>
      </c>
      <c r="M287" s="11">
        <v>115.94</v>
      </c>
      <c r="N287" s="11">
        <v>207.42</v>
      </c>
      <c r="O287" s="13">
        <v>2.5899999999999999E-2</v>
      </c>
      <c r="P287" s="13">
        <v>0.28710000000000002</v>
      </c>
      <c r="Q287" s="13">
        <v>0.58940000000000003</v>
      </c>
      <c r="R287" s="13">
        <v>5.4300000000000001E-2</v>
      </c>
      <c r="S287" s="13"/>
      <c r="T287" s="13">
        <v>4.3200000000000002E-2</v>
      </c>
      <c r="U287" s="14" t="s">
        <v>230</v>
      </c>
      <c r="V287" s="15">
        <f t="shared" si="14"/>
        <v>0.99990000000000012</v>
      </c>
    </row>
    <row r="288" spans="2:22" ht="30" x14ac:dyDescent="0.25">
      <c r="B288" s="7">
        <v>2074</v>
      </c>
      <c r="C288" s="7" t="s">
        <v>170</v>
      </c>
      <c r="D288" s="8" t="s">
        <v>227</v>
      </c>
      <c r="E288" s="7"/>
      <c r="F288" s="7" t="s">
        <v>238</v>
      </c>
      <c r="G288" s="9" t="s">
        <v>229</v>
      </c>
      <c r="H288" s="10">
        <v>44946</v>
      </c>
      <c r="I288" s="11">
        <f t="shared" si="12"/>
        <v>0</v>
      </c>
      <c r="J288" s="11">
        <f t="shared" si="13"/>
        <v>0</v>
      </c>
      <c r="K288" s="11">
        <f>IFERROR(IF([1]!Tabla1[[#This Row],[POZO]]="",K287,VLOOKUP(C288,[2]Sheet1!$B$3:$E$1048576,2,FALSE)),0)</f>
        <v>0</v>
      </c>
      <c r="L288" s="12">
        <v>0.96199999999999997</v>
      </c>
      <c r="M288" s="11">
        <v>83.254382272834349</v>
      </c>
      <c r="N288" s="11">
        <v>126.55159151626121</v>
      </c>
      <c r="O288" s="13">
        <v>3.7967401725790995E-2</v>
      </c>
      <c r="P288" s="13">
        <v>0.35129434324065201</v>
      </c>
      <c r="Q288" s="13">
        <v>0.49242569511025885</v>
      </c>
      <c r="R288" s="13">
        <v>5.6567593480345159E-2</v>
      </c>
      <c r="S288" s="13"/>
      <c r="T288" s="13">
        <v>6.1744966442953027E-2</v>
      </c>
      <c r="U288" s="14" t="s">
        <v>230</v>
      </c>
      <c r="V288" s="15">
        <f t="shared" si="14"/>
        <v>1</v>
      </c>
    </row>
    <row r="289" spans="2:22" ht="30" x14ac:dyDescent="0.25">
      <c r="B289" s="7">
        <v>476</v>
      </c>
      <c r="C289" s="7" t="s">
        <v>171</v>
      </c>
      <c r="D289" s="8" t="s">
        <v>227</v>
      </c>
      <c r="E289" s="7"/>
      <c r="F289" s="7" t="s">
        <v>263</v>
      </c>
      <c r="G289" s="9" t="s">
        <v>229</v>
      </c>
      <c r="H289" s="10">
        <v>44158</v>
      </c>
      <c r="I289" s="11">
        <v>639.53729999999996</v>
      </c>
      <c r="J289" s="11">
        <v>50.362700000000018</v>
      </c>
      <c r="K289" s="11">
        <v>689.9</v>
      </c>
      <c r="L289" s="12">
        <v>0.92700000000000005</v>
      </c>
      <c r="M289" s="11">
        <v>225.05</v>
      </c>
      <c r="N289" s="11">
        <v>227.71</v>
      </c>
      <c r="O289" s="13">
        <v>0.23930000000000001</v>
      </c>
      <c r="P289" s="13"/>
      <c r="Q289" s="13">
        <v>0.71333000000000002</v>
      </c>
      <c r="R289" s="13"/>
      <c r="S289" s="13">
        <v>3.2800000000000003E-2</v>
      </c>
      <c r="T289" s="13">
        <v>1.46E-2</v>
      </c>
      <c r="U289" s="14" t="s">
        <v>230</v>
      </c>
      <c r="V289" s="15">
        <v>1.0000300000000002</v>
      </c>
    </row>
    <row r="290" spans="2:22" ht="30" x14ac:dyDescent="0.25">
      <c r="B290" s="7">
        <v>280</v>
      </c>
      <c r="C290" s="7" t="s">
        <v>171</v>
      </c>
      <c r="D290" s="8" t="s">
        <v>227</v>
      </c>
      <c r="E290" s="7"/>
      <c r="F290" s="7" t="s">
        <v>263</v>
      </c>
      <c r="G290" s="9" t="s">
        <v>229</v>
      </c>
      <c r="H290" s="10">
        <v>44084</v>
      </c>
      <c r="I290" s="11">
        <v>639.53729999999996</v>
      </c>
      <c r="J290" s="11">
        <v>50.362700000000018</v>
      </c>
      <c r="K290" s="11">
        <v>689.9</v>
      </c>
      <c r="L290" s="12">
        <v>0.92700000000000005</v>
      </c>
      <c r="M290" s="11">
        <v>177.36</v>
      </c>
      <c r="N290" s="11">
        <v>179.77</v>
      </c>
      <c r="O290" s="13">
        <v>0.48670000000000002</v>
      </c>
      <c r="P290" s="13"/>
      <c r="Q290" s="13">
        <v>0.4294</v>
      </c>
      <c r="R290" s="13"/>
      <c r="S290" s="13">
        <v>4.6300000000000001E-2</v>
      </c>
      <c r="T290" s="13">
        <v>3.7600000000000001E-2</v>
      </c>
      <c r="U290" s="14" t="s">
        <v>230</v>
      </c>
      <c r="V290" s="15">
        <v>1</v>
      </c>
    </row>
    <row r="291" spans="2:22" ht="30" x14ac:dyDescent="0.25">
      <c r="B291" s="7">
        <v>2113</v>
      </c>
      <c r="C291" s="7" t="s">
        <v>172</v>
      </c>
      <c r="D291" s="8" t="s">
        <v>227</v>
      </c>
      <c r="E291" s="7"/>
      <c r="F291" s="7" t="s">
        <v>228</v>
      </c>
      <c r="G291" s="9" t="s">
        <v>229</v>
      </c>
      <c r="H291" s="10">
        <v>45030</v>
      </c>
      <c r="I291" s="11">
        <f>K291*L291</f>
        <v>15913.534292</v>
      </c>
      <c r="J291" s="11">
        <f>K291-I291</f>
        <v>57.495708000000377</v>
      </c>
      <c r="K291" s="11">
        <v>15971.03</v>
      </c>
      <c r="L291" s="12">
        <v>0.99639999999999995</v>
      </c>
      <c r="M291" s="11">
        <v>91393.416755325525</v>
      </c>
      <c r="N291" s="11">
        <v>91393.416755325525</v>
      </c>
      <c r="O291" s="13">
        <v>7.1531791907514464E-2</v>
      </c>
      <c r="P291" s="13">
        <v>0.15534682080924855</v>
      </c>
      <c r="Q291" s="13">
        <v>0.46459537572254334</v>
      </c>
      <c r="R291" s="13">
        <v>0.11705202312138728</v>
      </c>
      <c r="S291" s="13">
        <v>0.19147398843930635</v>
      </c>
      <c r="T291" s="13">
        <v>0.19147398843930635</v>
      </c>
      <c r="U291" s="14" t="s">
        <v>230</v>
      </c>
      <c r="V291" s="15">
        <f>SUM(O291:T291)</f>
        <v>1.1914739884393064</v>
      </c>
    </row>
    <row r="292" spans="2:22" ht="30" x14ac:dyDescent="0.25">
      <c r="B292" s="7">
        <v>1350</v>
      </c>
      <c r="C292" s="7" t="s">
        <v>172</v>
      </c>
      <c r="D292" s="8" t="s">
        <v>227</v>
      </c>
      <c r="E292" s="7"/>
      <c r="F292" s="7" t="s">
        <v>286</v>
      </c>
      <c r="G292" s="9" t="s">
        <v>229</v>
      </c>
      <c r="H292" s="10">
        <v>44529</v>
      </c>
      <c r="I292" s="11">
        <v>1350</v>
      </c>
      <c r="J292" s="11">
        <v>0</v>
      </c>
      <c r="K292" s="11">
        <v>1350</v>
      </c>
      <c r="L292" s="12">
        <v>1</v>
      </c>
      <c r="M292" s="11">
        <v>183.69</v>
      </c>
      <c r="N292" s="11">
        <v>632.20000000000005</v>
      </c>
      <c r="O292" s="13">
        <v>7.4999999999999997E-3</v>
      </c>
      <c r="P292" s="13">
        <v>9.7299999999999998E-2</v>
      </c>
      <c r="Q292" s="13">
        <v>0.66679999999999995</v>
      </c>
      <c r="R292" s="13">
        <v>0.21440000000000001</v>
      </c>
      <c r="S292" s="13"/>
      <c r="T292" s="13">
        <v>1.4E-2</v>
      </c>
      <c r="U292" s="14" t="s">
        <v>230</v>
      </c>
      <c r="V292" s="15">
        <v>1</v>
      </c>
    </row>
    <row r="293" spans="2:22" ht="30" x14ac:dyDescent="0.25">
      <c r="B293" s="7">
        <v>633</v>
      </c>
      <c r="C293" s="7" t="s">
        <v>173</v>
      </c>
      <c r="D293" s="8" t="s">
        <v>227</v>
      </c>
      <c r="E293" s="7"/>
      <c r="F293" s="7" t="s">
        <v>263</v>
      </c>
      <c r="G293" s="9" t="s">
        <v>229</v>
      </c>
      <c r="H293" s="10">
        <v>44203</v>
      </c>
      <c r="I293" s="11">
        <v>1272.24974</v>
      </c>
      <c r="J293" s="11">
        <v>23.320259999999962</v>
      </c>
      <c r="K293" s="11">
        <v>1295.57</v>
      </c>
      <c r="L293" s="12">
        <v>0.98199999999999998</v>
      </c>
      <c r="M293" s="11">
        <v>165.91</v>
      </c>
      <c r="N293" s="11">
        <v>166.9</v>
      </c>
      <c r="O293" s="13">
        <v>4.5699999999999998E-2</v>
      </c>
      <c r="P293" s="13"/>
      <c r="Q293" s="13">
        <v>0.51249999999999996</v>
      </c>
      <c r="R293" s="13"/>
      <c r="S293" s="13">
        <v>0.317</v>
      </c>
      <c r="T293" s="13">
        <v>0.12479999999999999</v>
      </c>
      <c r="U293" s="14" t="s">
        <v>247</v>
      </c>
      <c r="V293" s="15">
        <v>1</v>
      </c>
    </row>
    <row r="294" spans="2:22" ht="30" x14ac:dyDescent="0.25">
      <c r="B294" s="7">
        <v>762</v>
      </c>
      <c r="C294" s="7" t="s">
        <v>174</v>
      </c>
      <c r="D294" s="8" t="s">
        <v>227</v>
      </c>
      <c r="E294" s="7"/>
      <c r="F294" s="7" t="s">
        <v>242</v>
      </c>
      <c r="G294" s="9" t="s">
        <v>229</v>
      </c>
      <c r="H294" s="10">
        <v>44232</v>
      </c>
      <c r="I294" s="11">
        <v>6084.48495</v>
      </c>
      <c r="J294" s="11">
        <v>108.37504999999965</v>
      </c>
      <c r="K294" s="11">
        <v>6192.86</v>
      </c>
      <c r="L294" s="12">
        <v>0.98250000000000004</v>
      </c>
      <c r="M294" s="11">
        <v>145.19999999999999</v>
      </c>
      <c r="N294" s="11">
        <v>369.63</v>
      </c>
      <c r="O294" s="13">
        <v>0.12820000000000001</v>
      </c>
      <c r="P294" s="13"/>
      <c r="Q294" s="13">
        <v>0.43959999999999999</v>
      </c>
      <c r="R294" s="13"/>
      <c r="S294" s="13">
        <v>0.32229999999999998</v>
      </c>
      <c r="T294" s="13">
        <v>0.1099</v>
      </c>
      <c r="U294" s="14" t="s">
        <v>247</v>
      </c>
      <c r="V294" s="15">
        <v>0.99999999999999989</v>
      </c>
    </row>
    <row r="295" spans="2:22" ht="30" x14ac:dyDescent="0.25">
      <c r="B295" s="7">
        <v>664</v>
      </c>
      <c r="C295" s="7" t="s">
        <v>175</v>
      </c>
      <c r="D295" s="8" t="s">
        <v>227</v>
      </c>
      <c r="E295" s="7"/>
      <c r="F295" s="7" t="s">
        <v>253</v>
      </c>
      <c r="G295" s="9" t="s">
        <v>229</v>
      </c>
      <c r="H295" s="10">
        <v>44209</v>
      </c>
      <c r="I295" s="11">
        <v>923.23259999999993</v>
      </c>
      <c r="J295" s="11">
        <v>114.10739999999998</v>
      </c>
      <c r="K295" s="11">
        <v>1037.3399999999999</v>
      </c>
      <c r="L295" s="12">
        <v>0.89</v>
      </c>
      <c r="M295" s="11">
        <v>716.87</v>
      </c>
      <c r="N295" s="11">
        <v>1647.83</v>
      </c>
      <c r="O295" s="13">
        <v>2.7E-2</v>
      </c>
      <c r="P295" s="13"/>
      <c r="Q295" s="13">
        <v>0.23449999999999999</v>
      </c>
      <c r="R295" s="13"/>
      <c r="S295" s="13">
        <v>0.40050000000000002</v>
      </c>
      <c r="T295" s="13">
        <v>0.33800000000000002</v>
      </c>
      <c r="U295" s="14" t="s">
        <v>247</v>
      </c>
      <c r="V295" s="15">
        <v>1</v>
      </c>
    </row>
    <row r="296" spans="2:22" ht="30" x14ac:dyDescent="0.25">
      <c r="B296" s="7">
        <v>875</v>
      </c>
      <c r="C296" s="7" t="s">
        <v>176</v>
      </c>
      <c r="D296" s="8" t="s">
        <v>227</v>
      </c>
      <c r="E296" s="7"/>
      <c r="F296" s="7" t="s">
        <v>263</v>
      </c>
      <c r="G296" s="9" t="s">
        <v>229</v>
      </c>
      <c r="H296" s="10">
        <v>44258</v>
      </c>
      <c r="I296" s="11">
        <v>3238.4731499999998</v>
      </c>
      <c r="J296" s="11">
        <v>49.316850000000159</v>
      </c>
      <c r="K296" s="11">
        <v>3287.79</v>
      </c>
      <c r="L296" s="12">
        <v>0.98499999999999999</v>
      </c>
      <c r="M296" s="11">
        <v>103.95</v>
      </c>
      <c r="N296" s="11">
        <v>273.35000000000002</v>
      </c>
      <c r="O296" s="13">
        <v>0.20880000000000001</v>
      </c>
      <c r="P296" s="13"/>
      <c r="Q296" s="13">
        <v>9.7900000000000001E-2</v>
      </c>
      <c r="R296" s="13"/>
      <c r="S296" s="13">
        <v>0.37130000000000002</v>
      </c>
      <c r="T296" s="13">
        <v>0.32200000000000001</v>
      </c>
      <c r="U296" s="14" t="s">
        <v>230</v>
      </c>
      <c r="V296" s="15">
        <v>1</v>
      </c>
    </row>
    <row r="297" spans="2:22" ht="30" x14ac:dyDescent="0.25">
      <c r="B297" s="7">
        <v>1154</v>
      </c>
      <c r="C297" s="7" t="s">
        <v>176</v>
      </c>
      <c r="D297" s="8" t="s">
        <v>227</v>
      </c>
      <c r="E297" s="7"/>
      <c r="F297" s="7" t="s">
        <v>263</v>
      </c>
      <c r="G297" s="9" t="s">
        <v>229</v>
      </c>
      <c r="H297" s="10">
        <v>44384</v>
      </c>
      <c r="I297" s="11">
        <v>3238.4731499999998</v>
      </c>
      <c r="J297" s="11">
        <v>49.316850000000159</v>
      </c>
      <c r="K297" s="11">
        <v>3287.79</v>
      </c>
      <c r="L297" s="12">
        <v>0.98499999999999999</v>
      </c>
      <c r="M297" s="11">
        <v>99.97</v>
      </c>
      <c r="N297" s="11">
        <v>157.55000000000001</v>
      </c>
      <c r="O297" s="13">
        <v>5.7700000000000001E-2</v>
      </c>
      <c r="P297" s="13">
        <v>0.19969999999999999</v>
      </c>
      <c r="Q297" s="13">
        <v>0.29680000000000001</v>
      </c>
      <c r="R297" s="13">
        <v>0.20530000000000001</v>
      </c>
      <c r="S297" s="13"/>
      <c r="T297" s="13">
        <v>0.24049999999999999</v>
      </c>
      <c r="U297" s="14" t="s">
        <v>230</v>
      </c>
      <c r="V297" s="15">
        <v>1</v>
      </c>
    </row>
    <row r="298" spans="2:22" x14ac:dyDescent="0.25">
      <c r="B298" s="7">
        <v>447</v>
      </c>
      <c r="C298" s="7" t="s">
        <v>177</v>
      </c>
      <c r="D298" s="8" t="s">
        <v>227</v>
      </c>
      <c r="E298" s="7"/>
      <c r="F298" s="7" t="s">
        <v>263</v>
      </c>
      <c r="G298" s="9" t="s">
        <v>229</v>
      </c>
      <c r="H298" s="10">
        <v>44153</v>
      </c>
      <c r="I298" s="11">
        <v>3578.7599999999998</v>
      </c>
      <c r="J298" s="11">
        <v>21.240000000000236</v>
      </c>
      <c r="K298" s="11">
        <v>3600</v>
      </c>
      <c r="L298" s="12">
        <v>0.99409999999999998</v>
      </c>
      <c r="M298" s="11">
        <v>82.7</v>
      </c>
      <c r="N298" s="11">
        <v>88.17</v>
      </c>
      <c r="O298" s="13">
        <v>0.18729999999999999</v>
      </c>
      <c r="P298" s="13"/>
      <c r="Q298" s="13">
        <v>0.46039999999999998</v>
      </c>
      <c r="R298" s="13"/>
      <c r="S298" s="13">
        <v>0.26119999999999999</v>
      </c>
      <c r="T298" s="13">
        <v>9.1200000000000003E-2</v>
      </c>
      <c r="U298" s="14" t="s">
        <v>230</v>
      </c>
      <c r="V298" s="15">
        <v>1.0001</v>
      </c>
    </row>
    <row r="299" spans="2:22" ht="30" x14ac:dyDescent="0.25">
      <c r="B299" s="7">
        <v>663</v>
      </c>
      <c r="C299" s="7" t="s">
        <v>178</v>
      </c>
      <c r="D299" s="8" t="s">
        <v>227</v>
      </c>
      <c r="E299" s="7"/>
      <c r="F299" s="7" t="s">
        <v>251</v>
      </c>
      <c r="G299" s="9" t="s">
        <v>229</v>
      </c>
      <c r="H299" s="10">
        <v>44209</v>
      </c>
      <c r="I299" s="11">
        <v>2231.51712</v>
      </c>
      <c r="J299" s="11">
        <v>103.68287999999984</v>
      </c>
      <c r="K299" s="11">
        <v>2335.1999999999998</v>
      </c>
      <c r="L299" s="12">
        <v>0.9556</v>
      </c>
      <c r="M299" s="11">
        <v>783.18</v>
      </c>
      <c r="N299" s="11">
        <v>1525.98</v>
      </c>
      <c r="O299" s="13">
        <v>4.3900000000000002E-2</v>
      </c>
      <c r="P299" s="13"/>
      <c r="Q299" s="13">
        <v>0.4844</v>
      </c>
      <c r="R299" s="13"/>
      <c r="S299" s="13">
        <v>0.3337</v>
      </c>
      <c r="T299" s="13">
        <v>0.13800000000000001</v>
      </c>
      <c r="U299" s="14" t="s">
        <v>247</v>
      </c>
      <c r="V299" s="15">
        <v>1</v>
      </c>
    </row>
    <row r="300" spans="2:22" ht="30" x14ac:dyDescent="0.25">
      <c r="B300" s="7">
        <v>1052</v>
      </c>
      <c r="C300" s="7" t="s">
        <v>178</v>
      </c>
      <c r="D300" s="8" t="s">
        <v>227</v>
      </c>
      <c r="E300" s="7"/>
      <c r="F300" s="7" t="s">
        <v>251</v>
      </c>
      <c r="G300" s="9" t="s">
        <v>229</v>
      </c>
      <c r="H300" s="10">
        <v>44313</v>
      </c>
      <c r="I300" s="11">
        <v>2231.51712</v>
      </c>
      <c r="J300" s="11">
        <v>103.68287999999984</v>
      </c>
      <c r="K300" s="11">
        <v>2335.1999999999998</v>
      </c>
      <c r="L300" s="12">
        <v>0.9556</v>
      </c>
      <c r="M300" s="11">
        <v>117.44</v>
      </c>
      <c r="N300" s="11">
        <v>209.45</v>
      </c>
      <c r="O300" s="13">
        <v>2.1299999999999999E-2</v>
      </c>
      <c r="P300" s="13">
        <v>4.7E-2</v>
      </c>
      <c r="Q300" s="13">
        <v>0.29530000000000001</v>
      </c>
      <c r="R300" s="13">
        <v>0.37019999999999997</v>
      </c>
      <c r="S300" s="13"/>
      <c r="T300" s="13">
        <v>0.2661</v>
      </c>
      <c r="U300" s="14" t="s">
        <v>230</v>
      </c>
      <c r="V300" s="15">
        <v>0.99990000000000001</v>
      </c>
    </row>
    <row r="301" spans="2:22" ht="30" x14ac:dyDescent="0.25">
      <c r="B301" s="7">
        <v>1149</v>
      </c>
      <c r="C301" s="7" t="s">
        <v>179</v>
      </c>
      <c r="D301" s="8" t="s">
        <v>227</v>
      </c>
      <c r="E301" s="7"/>
      <c r="F301" s="7" t="s">
        <v>263</v>
      </c>
      <c r="G301" s="9" t="s">
        <v>229</v>
      </c>
      <c r="H301" s="10">
        <v>44379</v>
      </c>
      <c r="I301" s="11">
        <v>4551.0442499999999</v>
      </c>
      <c r="J301" s="11">
        <v>78.70575000000008</v>
      </c>
      <c r="K301" s="11">
        <v>4629.75</v>
      </c>
      <c r="L301" s="12">
        <v>0.98299999999999998</v>
      </c>
      <c r="M301" s="11">
        <v>127.15</v>
      </c>
      <c r="N301" s="11">
        <v>200.53</v>
      </c>
      <c r="O301" s="13">
        <v>0.11360000000000001</v>
      </c>
      <c r="P301" s="13">
        <v>0.2036</v>
      </c>
      <c r="Q301" s="13">
        <v>0.44740000000000002</v>
      </c>
      <c r="R301" s="13">
        <v>0.1094</v>
      </c>
      <c r="S301" s="13"/>
      <c r="T301" s="13">
        <v>0.126</v>
      </c>
      <c r="U301" s="14" t="s">
        <v>230</v>
      </c>
      <c r="V301" s="15">
        <v>1</v>
      </c>
    </row>
    <row r="302" spans="2:22" ht="30" x14ac:dyDescent="0.25">
      <c r="B302" s="7">
        <v>955</v>
      </c>
      <c r="C302" s="7" t="s">
        <v>180</v>
      </c>
      <c r="D302" s="8" t="s">
        <v>227</v>
      </c>
      <c r="E302" s="7"/>
      <c r="F302" s="7" t="s">
        <v>234</v>
      </c>
      <c r="G302" s="9" t="s">
        <v>229</v>
      </c>
      <c r="H302" s="10">
        <v>44285</v>
      </c>
      <c r="I302" s="11">
        <v>524.45360000000005</v>
      </c>
      <c r="J302" s="11">
        <v>71.516399999999976</v>
      </c>
      <c r="K302" s="11">
        <v>595.97</v>
      </c>
      <c r="L302" s="12">
        <v>0.88</v>
      </c>
      <c r="M302" s="11">
        <v>387.63</v>
      </c>
      <c r="N302" s="11">
        <v>3043.17</v>
      </c>
      <c r="O302" s="13">
        <v>1.2500000000000001E-2</v>
      </c>
      <c r="P302" s="13">
        <v>0.1095</v>
      </c>
      <c r="Q302" s="13">
        <v>0.85229999999999995</v>
      </c>
      <c r="R302" s="13">
        <v>2.01E-2</v>
      </c>
      <c r="S302" s="13"/>
      <c r="T302" s="13">
        <v>5.5999999999999999E-3</v>
      </c>
      <c r="U302" s="14" t="s">
        <v>230</v>
      </c>
      <c r="V302" s="15">
        <v>1</v>
      </c>
    </row>
    <row r="303" spans="2:22" ht="30" x14ac:dyDescent="0.25">
      <c r="B303" s="7">
        <v>1905</v>
      </c>
      <c r="C303" s="7" t="s">
        <v>181</v>
      </c>
      <c r="D303" s="8" t="s">
        <v>227</v>
      </c>
      <c r="E303" s="7"/>
      <c r="F303" s="7" t="s">
        <v>274</v>
      </c>
      <c r="G303" s="9" t="s">
        <v>229</v>
      </c>
      <c r="H303" s="10">
        <v>44865</v>
      </c>
      <c r="I303" s="11">
        <f t="shared" ref="I303:I308" si="15">K303*L303</f>
        <v>911.40000000000009</v>
      </c>
      <c r="J303" s="11">
        <f t="shared" ref="J303:J308" si="16">K303-I303</f>
        <v>68.599999999999909</v>
      </c>
      <c r="K303" s="11">
        <v>980</v>
      </c>
      <c r="L303" s="12">
        <v>0.93</v>
      </c>
      <c r="M303" s="11">
        <v>104.43</v>
      </c>
      <c r="N303" s="11">
        <v>579.36</v>
      </c>
      <c r="O303" s="13">
        <v>3.3000000000000002E-2</v>
      </c>
      <c r="P303" s="13">
        <v>0.37469999999999998</v>
      </c>
      <c r="Q303" s="13">
        <v>0.48899999999999999</v>
      </c>
      <c r="R303" s="13">
        <v>7.2499999999999995E-2</v>
      </c>
      <c r="S303" s="13"/>
      <c r="T303" s="13">
        <v>3.0800000000000001E-2</v>
      </c>
      <c r="U303" s="14" t="s">
        <v>230</v>
      </c>
      <c r="V303" s="15">
        <f t="shared" ref="V303:V308" si="17">SUM(O303:T303)</f>
        <v>1</v>
      </c>
    </row>
    <row r="304" spans="2:22" ht="30" x14ac:dyDescent="0.25">
      <c r="B304" s="7">
        <v>2012</v>
      </c>
      <c r="C304" s="7" t="s">
        <v>182</v>
      </c>
      <c r="D304" s="8" t="s">
        <v>227</v>
      </c>
      <c r="E304" s="7"/>
      <c r="F304" s="7" t="s">
        <v>241</v>
      </c>
      <c r="G304" s="9" t="s">
        <v>229</v>
      </c>
      <c r="H304" s="10">
        <v>44918</v>
      </c>
      <c r="I304" s="11">
        <f t="shared" si="15"/>
        <v>4193.8248300000005</v>
      </c>
      <c r="J304" s="11">
        <f t="shared" si="16"/>
        <v>46.64516999999978</v>
      </c>
      <c r="K304" s="11">
        <v>4240.47</v>
      </c>
      <c r="L304" s="12">
        <v>0.9890000000000001</v>
      </c>
      <c r="M304" s="11">
        <v>124.45</v>
      </c>
      <c r="N304" s="11">
        <v>293.86</v>
      </c>
      <c r="O304" s="13">
        <v>5.04E-2</v>
      </c>
      <c r="P304" s="13">
        <v>0.63419999999999999</v>
      </c>
      <c r="Q304" s="13">
        <v>0.1993</v>
      </c>
      <c r="R304" s="13">
        <v>5.7200000000000001E-2</v>
      </c>
      <c r="S304" s="13"/>
      <c r="T304" s="13">
        <v>5.8900000000000001E-2</v>
      </c>
      <c r="U304" s="14" t="s">
        <v>230</v>
      </c>
      <c r="V304" s="15">
        <f t="shared" si="17"/>
        <v>1</v>
      </c>
    </row>
    <row r="305" spans="2:22" x14ac:dyDescent="0.25">
      <c r="B305" s="7">
        <v>1746</v>
      </c>
      <c r="C305" s="7" t="s">
        <v>183</v>
      </c>
      <c r="D305" s="8" t="s">
        <v>227</v>
      </c>
      <c r="E305" s="7"/>
      <c r="F305" s="7" t="s">
        <v>232</v>
      </c>
      <c r="G305" s="9" t="s">
        <v>229</v>
      </c>
      <c r="H305" s="10">
        <v>44802</v>
      </c>
      <c r="I305" s="11">
        <f t="shared" si="15"/>
        <v>9618.9819960000004</v>
      </c>
      <c r="J305" s="11">
        <f t="shared" si="16"/>
        <v>6.7380039999989094</v>
      </c>
      <c r="K305" s="11">
        <v>9625.7199999999993</v>
      </c>
      <c r="L305" s="12">
        <v>0.99930000000000008</v>
      </c>
      <c r="M305" s="11">
        <v>193.72</v>
      </c>
      <c r="N305" s="11">
        <v>241.32</v>
      </c>
      <c r="O305" s="13">
        <v>1.6400000000000001E-2</v>
      </c>
      <c r="P305" s="13">
        <v>8.3799999999999999E-2</v>
      </c>
      <c r="Q305" s="13">
        <v>0.21149999999999999</v>
      </c>
      <c r="R305" s="13">
        <v>0.42380000000000001</v>
      </c>
      <c r="S305" s="13"/>
      <c r="T305" s="13">
        <v>0.26450000000000001</v>
      </c>
      <c r="U305" s="14" t="s">
        <v>230</v>
      </c>
      <c r="V305" s="15">
        <f t="shared" si="17"/>
        <v>1</v>
      </c>
    </row>
    <row r="306" spans="2:22" x14ac:dyDescent="0.25">
      <c r="B306" s="7">
        <v>1483</v>
      </c>
      <c r="C306" s="7" t="s">
        <v>184</v>
      </c>
      <c r="D306" s="8" t="s">
        <v>227</v>
      </c>
      <c r="E306" s="7"/>
      <c r="F306" s="7" t="s">
        <v>241</v>
      </c>
      <c r="G306" s="9" t="s">
        <v>229</v>
      </c>
      <c r="H306" s="10">
        <v>44669</v>
      </c>
      <c r="I306" s="11">
        <f t="shared" si="15"/>
        <v>567.79999999999995</v>
      </c>
      <c r="J306" s="11">
        <f t="shared" si="16"/>
        <v>112.20000000000005</v>
      </c>
      <c r="K306" s="11">
        <v>680</v>
      </c>
      <c r="L306" s="12">
        <v>0.83499999999999996</v>
      </c>
      <c r="M306" s="11">
        <v>205.11</v>
      </c>
      <c r="N306" s="11">
        <v>607.13</v>
      </c>
      <c r="O306" s="13">
        <v>1.89E-2</v>
      </c>
      <c r="P306" s="13">
        <v>0.20760000000000001</v>
      </c>
      <c r="Q306" s="13">
        <v>0.64800000000000002</v>
      </c>
      <c r="R306" s="13">
        <v>9.3700000000000006E-2</v>
      </c>
      <c r="S306" s="13"/>
      <c r="T306" s="13">
        <v>3.1699999999999999E-2</v>
      </c>
      <c r="U306" s="14" t="s">
        <v>230</v>
      </c>
      <c r="V306" s="15">
        <f t="shared" si="17"/>
        <v>0.99990000000000001</v>
      </c>
    </row>
    <row r="307" spans="2:22" ht="30" x14ac:dyDescent="0.25">
      <c r="B307" s="7">
        <v>1555</v>
      </c>
      <c r="C307" s="7" t="s">
        <v>184</v>
      </c>
      <c r="D307" s="8" t="s">
        <v>227</v>
      </c>
      <c r="E307" s="7"/>
      <c r="F307" s="7" t="s">
        <v>241</v>
      </c>
      <c r="G307" s="9" t="s">
        <v>229</v>
      </c>
      <c r="H307" s="10">
        <v>44702</v>
      </c>
      <c r="I307" s="11">
        <f t="shared" si="15"/>
        <v>567.79999999999995</v>
      </c>
      <c r="J307" s="11">
        <f t="shared" si="16"/>
        <v>112.20000000000005</v>
      </c>
      <c r="K307" s="11">
        <v>680</v>
      </c>
      <c r="L307" s="12">
        <v>0.83499999999999996</v>
      </c>
      <c r="M307" s="11">
        <v>122.38</v>
      </c>
      <c r="N307" s="11">
        <v>380.83</v>
      </c>
      <c r="O307" s="13">
        <v>2.64E-2</v>
      </c>
      <c r="P307" s="13">
        <v>0.31890000000000002</v>
      </c>
      <c r="Q307" s="13">
        <v>0.49170000000000003</v>
      </c>
      <c r="R307" s="13">
        <v>0.1249</v>
      </c>
      <c r="S307" s="13"/>
      <c r="T307" s="13">
        <v>3.7999999999999999E-2</v>
      </c>
      <c r="U307" s="14" t="s">
        <v>230</v>
      </c>
      <c r="V307" s="15">
        <f t="shared" si="17"/>
        <v>0.99990000000000001</v>
      </c>
    </row>
    <row r="308" spans="2:22" ht="30" x14ac:dyDescent="0.25">
      <c r="B308" s="7">
        <v>1537</v>
      </c>
      <c r="C308" s="7" t="s">
        <v>184</v>
      </c>
      <c r="D308" s="8" t="s">
        <v>227</v>
      </c>
      <c r="E308" s="7"/>
      <c r="F308" s="7" t="s">
        <v>241</v>
      </c>
      <c r="G308" s="9" t="s">
        <v>229</v>
      </c>
      <c r="H308" s="10">
        <v>44691</v>
      </c>
      <c r="I308" s="11">
        <f t="shared" si="15"/>
        <v>567.79999999999995</v>
      </c>
      <c r="J308" s="11">
        <f t="shared" si="16"/>
        <v>112.20000000000005</v>
      </c>
      <c r="K308" s="11">
        <v>680</v>
      </c>
      <c r="L308" s="12">
        <v>0.83499999999999996</v>
      </c>
      <c r="M308" s="11">
        <v>122.35</v>
      </c>
      <c r="N308" s="11">
        <v>778.89</v>
      </c>
      <c r="O308" s="13">
        <v>4.4000000000000003E-3</v>
      </c>
      <c r="P308" s="13">
        <v>0.5121</v>
      </c>
      <c r="Q308" s="13">
        <v>0.42820000000000003</v>
      </c>
      <c r="R308" s="13">
        <v>4.5999999999999999E-2</v>
      </c>
      <c r="S308" s="13"/>
      <c r="T308" s="13">
        <v>9.2999999999999992E-3</v>
      </c>
      <c r="U308" s="14" t="s">
        <v>230</v>
      </c>
      <c r="V308" s="15">
        <f t="shared" si="17"/>
        <v>1</v>
      </c>
    </row>
    <row r="309" spans="2:22" ht="30" x14ac:dyDescent="0.25">
      <c r="B309" s="7">
        <v>700</v>
      </c>
      <c r="C309" s="7" t="s">
        <v>185</v>
      </c>
      <c r="D309" s="8" t="s">
        <v>227</v>
      </c>
      <c r="E309" s="7"/>
      <c r="F309" s="7" t="s">
        <v>252</v>
      </c>
      <c r="G309" s="9" t="s">
        <v>229</v>
      </c>
      <c r="H309" s="10">
        <v>44221</v>
      </c>
      <c r="I309" s="11">
        <v>486.65609999999998</v>
      </c>
      <c r="J309" s="11">
        <v>114.15389999999996</v>
      </c>
      <c r="K309" s="11">
        <v>600.80999999999995</v>
      </c>
      <c r="L309" s="12">
        <v>0.81</v>
      </c>
      <c r="M309" s="11">
        <v>105.81</v>
      </c>
      <c r="N309" s="11">
        <v>300.48</v>
      </c>
      <c r="O309" s="13">
        <v>8.2799999999999999E-2</v>
      </c>
      <c r="P309" s="13"/>
      <c r="Q309" s="13">
        <v>0.6673</v>
      </c>
      <c r="R309" s="13"/>
      <c r="S309" s="13">
        <v>0.12690000000000001</v>
      </c>
      <c r="T309" s="13">
        <v>0.1229</v>
      </c>
      <c r="U309" s="14" t="s">
        <v>230</v>
      </c>
      <c r="V309" s="15">
        <v>0.99990000000000001</v>
      </c>
    </row>
    <row r="310" spans="2:22" x14ac:dyDescent="0.25">
      <c r="B310" s="7">
        <v>749</v>
      </c>
      <c r="C310" s="7" t="s">
        <v>186</v>
      </c>
      <c r="D310" s="8" t="s">
        <v>227</v>
      </c>
      <c r="E310" s="7"/>
      <c r="F310" s="7" t="s">
        <v>263</v>
      </c>
      <c r="G310" s="9" t="s">
        <v>229</v>
      </c>
      <c r="H310" s="10">
        <v>44230</v>
      </c>
      <c r="I310" s="11">
        <v>2361.1939199999997</v>
      </c>
      <c r="J310" s="11">
        <v>33.526080000000093</v>
      </c>
      <c r="K310" s="11">
        <v>2394.7199999999998</v>
      </c>
      <c r="L310" s="12">
        <v>0.98599999999999999</v>
      </c>
      <c r="M310" s="11">
        <v>232.01</v>
      </c>
      <c r="N310" s="11">
        <v>496.44</v>
      </c>
      <c r="O310" s="13">
        <v>4.5199999999999997E-2</v>
      </c>
      <c r="P310" s="13"/>
      <c r="Q310" s="13">
        <v>0.14829999999999999</v>
      </c>
      <c r="R310" s="13"/>
      <c r="S310" s="13">
        <v>0.30230000000000001</v>
      </c>
      <c r="T310" s="13">
        <v>0.50419999999999998</v>
      </c>
      <c r="U310" s="14" t="s">
        <v>230</v>
      </c>
      <c r="V310" s="15">
        <v>1</v>
      </c>
    </row>
    <row r="311" spans="2:22" x14ac:dyDescent="0.25">
      <c r="B311" s="7">
        <v>1446</v>
      </c>
      <c r="C311" s="7" t="s">
        <v>187</v>
      </c>
      <c r="D311" s="8" t="s">
        <v>227</v>
      </c>
      <c r="E311" s="7"/>
      <c r="F311" s="7" t="s">
        <v>232</v>
      </c>
      <c r="G311" s="9" t="s">
        <v>229</v>
      </c>
      <c r="H311" s="10">
        <v>44623</v>
      </c>
      <c r="I311" s="11">
        <f>K311*L311</f>
        <v>3928.9311599999996</v>
      </c>
      <c r="J311" s="11">
        <f>K311-I311</f>
        <v>51.7488400000002</v>
      </c>
      <c r="K311" s="11">
        <v>3980.68</v>
      </c>
      <c r="L311" s="12">
        <v>0.98699999999999999</v>
      </c>
      <c r="M311" s="11">
        <v>581.83000000000004</v>
      </c>
      <c r="N311" s="11">
        <v>1080.3499999999999</v>
      </c>
      <c r="O311" s="13">
        <v>3.5999999999999999E-3</v>
      </c>
      <c r="P311" s="13">
        <v>0.35859999999999997</v>
      </c>
      <c r="Q311" s="13">
        <v>0.54290000000000005</v>
      </c>
      <c r="R311" s="13">
        <v>6.9900000000000004E-2</v>
      </c>
      <c r="S311" s="13"/>
      <c r="T311" s="13">
        <v>2.5000000000000001E-2</v>
      </c>
      <c r="U311" s="14" t="s">
        <v>230</v>
      </c>
      <c r="V311" s="15">
        <f>SUM(O311:T311)</f>
        <v>1</v>
      </c>
    </row>
    <row r="312" spans="2:22" ht="30" x14ac:dyDescent="0.25">
      <c r="B312" s="7">
        <v>1436</v>
      </c>
      <c r="C312" s="7" t="s">
        <v>187</v>
      </c>
      <c r="D312" s="8" t="s">
        <v>227</v>
      </c>
      <c r="E312" s="7"/>
      <c r="F312" s="7" t="s">
        <v>232</v>
      </c>
      <c r="G312" s="9" t="s">
        <v>229</v>
      </c>
      <c r="H312" s="10">
        <v>44621</v>
      </c>
      <c r="I312" s="11">
        <f>K312*L312</f>
        <v>3928.9311599999996</v>
      </c>
      <c r="J312" s="11">
        <f>K312-I312</f>
        <v>51.7488400000002</v>
      </c>
      <c r="K312" s="11">
        <v>3980.68</v>
      </c>
      <c r="L312" s="12">
        <v>0.98699999999999999</v>
      </c>
      <c r="M312" s="11">
        <v>89.27</v>
      </c>
      <c r="N312" s="11">
        <v>90.69</v>
      </c>
      <c r="O312" s="13">
        <v>2.0400000000000001E-2</v>
      </c>
      <c r="P312" s="13">
        <v>0.67959999999999998</v>
      </c>
      <c r="Q312" s="13">
        <v>0.26169999999999999</v>
      </c>
      <c r="R312" s="13">
        <v>3.0499999999999999E-2</v>
      </c>
      <c r="S312" s="13"/>
      <c r="T312" s="13">
        <v>7.9000000000000008E-3</v>
      </c>
      <c r="U312" s="14" t="s">
        <v>230</v>
      </c>
      <c r="V312" s="15">
        <f>SUM(O312:T312)</f>
        <v>1.0001</v>
      </c>
    </row>
    <row r="313" spans="2:22" x14ac:dyDescent="0.25">
      <c r="B313" s="7">
        <v>2197</v>
      </c>
      <c r="C313" s="7" t="s">
        <v>188</v>
      </c>
      <c r="D313" s="8" t="s">
        <v>254</v>
      </c>
      <c r="E313" s="7"/>
      <c r="F313" s="7" t="s">
        <v>263</v>
      </c>
      <c r="G313" s="9" t="s">
        <v>229</v>
      </c>
      <c r="H313" s="10">
        <v>45063</v>
      </c>
      <c r="I313" s="11">
        <f>K313*L313</f>
        <v>0</v>
      </c>
      <c r="J313" s="11">
        <f>K313-I313</f>
        <v>0</v>
      </c>
      <c r="K313" s="11">
        <f>IFERROR(IF([1]!Tabla1[[#This Row],[POZO]]="",K312,VLOOKUP(C313,[2]Sheet1!$B$3:$E$1048576,2,FALSE)),0)</f>
        <v>0</v>
      </c>
      <c r="L313" s="12">
        <v>0.99620000000000009</v>
      </c>
      <c r="M313" s="11">
        <v>523.49337684700743</v>
      </c>
      <c r="N313" s="11">
        <v>941.74955779594416</v>
      </c>
      <c r="O313" s="13">
        <v>1.6564374389733575E-2</v>
      </c>
      <c r="P313" s="13">
        <v>0.26258892453619753</v>
      </c>
      <c r="Q313" s="13">
        <v>0.65029990235737201</v>
      </c>
      <c r="R313" s="13">
        <v>6.4653368670665373E-2</v>
      </c>
      <c r="S313" s="13"/>
      <c r="T313" s="13">
        <v>5.8934300460315239E-3</v>
      </c>
      <c r="U313" s="14" t="s">
        <v>230</v>
      </c>
      <c r="V313" s="15">
        <f>SUM(O313:T313)</f>
        <v>1</v>
      </c>
    </row>
    <row r="314" spans="2:22" ht="30" x14ac:dyDescent="0.25">
      <c r="B314" s="7">
        <v>1586</v>
      </c>
      <c r="C314" s="7" t="s">
        <v>188</v>
      </c>
      <c r="D314" s="8" t="s">
        <v>227</v>
      </c>
      <c r="E314" s="7"/>
      <c r="F314" s="7" t="s">
        <v>263</v>
      </c>
      <c r="G314" s="9" t="s">
        <v>229</v>
      </c>
      <c r="H314" s="10">
        <v>44719</v>
      </c>
      <c r="I314" s="11">
        <f>K314*L314</f>
        <v>4213.9957340000001</v>
      </c>
      <c r="J314" s="11">
        <f>K314-I314</f>
        <v>16.074265999999625</v>
      </c>
      <c r="K314" s="11">
        <v>4230.07</v>
      </c>
      <c r="L314" s="12">
        <v>0.99620000000000009</v>
      </c>
      <c r="M314" s="11">
        <v>186.58</v>
      </c>
      <c r="N314" s="11">
        <v>307.87</v>
      </c>
      <c r="O314" s="13">
        <v>7.2400000000000006E-2</v>
      </c>
      <c r="P314" s="13">
        <v>0.3206</v>
      </c>
      <c r="Q314" s="13">
        <v>0.42680000000000001</v>
      </c>
      <c r="R314" s="13">
        <v>9.64E-2</v>
      </c>
      <c r="S314" s="13"/>
      <c r="T314" s="13">
        <v>8.3799999999999999E-2</v>
      </c>
      <c r="U314" s="14" t="s">
        <v>230</v>
      </c>
      <c r="V314" s="15">
        <f>SUM(O314:T314)</f>
        <v>1.0000000000000002</v>
      </c>
    </row>
    <row r="315" spans="2:22" ht="30" x14ac:dyDescent="0.25">
      <c r="B315" s="7">
        <v>845</v>
      </c>
      <c r="C315" s="7" t="s">
        <v>189</v>
      </c>
      <c r="D315" s="8" t="s">
        <v>227</v>
      </c>
      <c r="E315" s="7"/>
      <c r="F315" s="7" t="s">
        <v>244</v>
      </c>
      <c r="G315" s="9" t="s">
        <v>229</v>
      </c>
      <c r="H315" s="10">
        <v>44251</v>
      </c>
      <c r="I315" s="11">
        <v>6145.433</v>
      </c>
      <c r="J315" s="11">
        <v>125.41700000000037</v>
      </c>
      <c r="K315" s="11">
        <v>6270.85</v>
      </c>
      <c r="L315" s="12">
        <v>0.98</v>
      </c>
      <c r="M315" s="11">
        <v>90.39</v>
      </c>
      <c r="N315" s="11">
        <v>186.62</v>
      </c>
      <c r="O315" s="13">
        <v>2.8799999999999999E-2</v>
      </c>
      <c r="P315" s="13"/>
      <c r="Q315" s="13">
        <v>0.83169999999999999</v>
      </c>
      <c r="R315" s="13"/>
      <c r="S315" s="13">
        <v>5.7500000000000002E-2</v>
      </c>
      <c r="T315" s="13">
        <v>8.2000000000000003E-2</v>
      </c>
      <c r="U315" s="14" t="s">
        <v>230</v>
      </c>
      <c r="V315" s="15">
        <v>1</v>
      </c>
    </row>
    <row r="316" spans="2:22" ht="30" x14ac:dyDescent="0.25">
      <c r="B316" s="7">
        <v>657</v>
      </c>
      <c r="C316" s="7" t="s">
        <v>190</v>
      </c>
      <c r="D316" s="8" t="s">
        <v>227</v>
      </c>
      <c r="E316" s="7"/>
      <c r="F316" s="7" t="s">
        <v>285</v>
      </c>
      <c r="G316" s="9" t="s">
        <v>229</v>
      </c>
      <c r="H316" s="10">
        <v>44209</v>
      </c>
      <c r="I316" s="11">
        <v>161.79119999999998</v>
      </c>
      <c r="J316" s="11">
        <v>72.688800000000015</v>
      </c>
      <c r="K316" s="11">
        <v>234.48</v>
      </c>
      <c r="L316" s="12">
        <v>0.69</v>
      </c>
      <c r="M316" s="11">
        <v>189.03</v>
      </c>
      <c r="N316" s="11">
        <v>584.19000000000005</v>
      </c>
      <c r="O316" s="13">
        <v>7.0800000000000002E-2</v>
      </c>
      <c r="P316" s="13"/>
      <c r="Q316" s="13">
        <v>0.15210000000000001</v>
      </c>
      <c r="R316" s="13"/>
      <c r="S316" s="13">
        <v>0.34039999999999998</v>
      </c>
      <c r="T316" s="13">
        <v>0.43669999999999998</v>
      </c>
      <c r="U316" s="14" t="s">
        <v>230</v>
      </c>
      <c r="V316" s="15">
        <v>1</v>
      </c>
    </row>
    <row r="317" spans="2:22" ht="30" x14ac:dyDescent="0.25">
      <c r="B317" s="7">
        <v>528</v>
      </c>
      <c r="C317" s="7" t="s">
        <v>190</v>
      </c>
      <c r="D317" s="8" t="s">
        <v>227</v>
      </c>
      <c r="E317" s="7"/>
      <c r="F317" s="7" t="s">
        <v>285</v>
      </c>
      <c r="G317" s="9" t="s">
        <v>229</v>
      </c>
      <c r="H317" s="10">
        <v>44180</v>
      </c>
      <c r="I317" s="11">
        <v>161.79119999999998</v>
      </c>
      <c r="J317" s="11">
        <v>72.688800000000015</v>
      </c>
      <c r="K317" s="11">
        <v>234.48</v>
      </c>
      <c r="L317" s="12">
        <v>0.69</v>
      </c>
      <c r="M317" s="11">
        <v>150.02000000000001</v>
      </c>
      <c r="N317" s="11">
        <v>294.95</v>
      </c>
      <c r="O317" s="13">
        <v>8.48E-2</v>
      </c>
      <c r="P317" s="13"/>
      <c r="Q317" s="13">
        <v>0.60640000000000005</v>
      </c>
      <c r="R317" s="13"/>
      <c r="S317" s="13">
        <v>0.24709999999999999</v>
      </c>
      <c r="T317" s="13">
        <v>6.1600000000000002E-2</v>
      </c>
      <c r="U317" s="14" t="s">
        <v>230</v>
      </c>
      <c r="V317" s="15">
        <v>0.99990000000000001</v>
      </c>
    </row>
    <row r="318" spans="2:22" ht="30" x14ac:dyDescent="0.25">
      <c r="B318" s="7">
        <v>846</v>
      </c>
      <c r="C318" s="7" t="s">
        <v>191</v>
      </c>
      <c r="D318" s="8" t="s">
        <v>227</v>
      </c>
      <c r="E318" s="7"/>
      <c r="F318" s="7" t="s">
        <v>238</v>
      </c>
      <c r="G318" s="9" t="s">
        <v>229</v>
      </c>
      <c r="H318" s="10">
        <v>44251</v>
      </c>
      <c r="I318" s="11">
        <v>805.5</v>
      </c>
      <c r="J318" s="11">
        <v>94.5</v>
      </c>
      <c r="K318" s="11">
        <v>900</v>
      </c>
      <c r="L318" s="12">
        <v>0.89500000000000002</v>
      </c>
      <c r="M318" s="11">
        <v>182.25</v>
      </c>
      <c r="N318" s="11">
        <v>271.25</v>
      </c>
      <c r="O318" s="13">
        <v>4.58E-2</v>
      </c>
      <c r="P318" s="13"/>
      <c r="Q318" s="13">
        <v>0.32550000000000001</v>
      </c>
      <c r="R318" s="13"/>
      <c r="S318" s="13">
        <v>0.45910000000000001</v>
      </c>
      <c r="T318" s="13">
        <v>0.1696</v>
      </c>
      <c r="U318" s="14" t="s">
        <v>230</v>
      </c>
      <c r="V318" s="15">
        <v>1</v>
      </c>
    </row>
    <row r="319" spans="2:22" ht="30" x14ac:dyDescent="0.25">
      <c r="B319" s="7">
        <v>1178</v>
      </c>
      <c r="C319" s="7" t="s">
        <v>192</v>
      </c>
      <c r="D319" s="8" t="s">
        <v>227</v>
      </c>
      <c r="E319" s="7"/>
      <c r="F319" s="7" t="s">
        <v>263</v>
      </c>
      <c r="G319" s="9" t="s">
        <v>229</v>
      </c>
      <c r="H319" s="10">
        <v>44404</v>
      </c>
      <c r="I319" s="11">
        <v>1474.0771499999998</v>
      </c>
      <c r="J319" s="11">
        <v>85.792850000000044</v>
      </c>
      <c r="K319" s="11">
        <v>1559.87</v>
      </c>
      <c r="L319" s="12">
        <v>0.94499999999999995</v>
      </c>
      <c r="M319" s="11">
        <v>96.73</v>
      </c>
      <c r="N319" s="11">
        <v>138.86000000000001</v>
      </c>
      <c r="O319" s="13">
        <v>0.2611</v>
      </c>
      <c r="P319" s="13">
        <v>0.2389</v>
      </c>
      <c r="Q319" s="13">
        <v>0.32450000000000001</v>
      </c>
      <c r="R319" s="13">
        <v>0.1089</v>
      </c>
      <c r="S319" s="13"/>
      <c r="T319" s="13">
        <v>6.6600000000000006E-2</v>
      </c>
      <c r="U319" s="14" t="s">
        <v>230</v>
      </c>
      <c r="V319" s="15">
        <v>1</v>
      </c>
    </row>
    <row r="320" spans="2:22" ht="30" x14ac:dyDescent="0.25">
      <c r="B320" s="7">
        <v>231</v>
      </c>
      <c r="C320" s="7" t="s">
        <v>193</v>
      </c>
      <c r="D320" s="8" t="s">
        <v>254</v>
      </c>
      <c r="E320" s="7"/>
      <c r="F320" s="7" t="s">
        <v>285</v>
      </c>
      <c r="G320" s="9" t="s">
        <v>229</v>
      </c>
      <c r="H320" s="10">
        <v>44074</v>
      </c>
      <c r="I320" s="11">
        <v>18.600000000000001</v>
      </c>
      <c r="J320" s="11">
        <v>41.4</v>
      </c>
      <c r="K320" s="11">
        <v>60</v>
      </c>
      <c r="L320" s="12">
        <v>0.31</v>
      </c>
      <c r="M320" s="11">
        <v>115.57</v>
      </c>
      <c r="N320" s="11">
        <v>186.07</v>
      </c>
      <c r="O320" s="13">
        <v>0.62729999999999997</v>
      </c>
      <c r="P320" s="13"/>
      <c r="Q320" s="13">
        <v>0.26319999999999999</v>
      </c>
      <c r="R320" s="13"/>
      <c r="S320" s="13">
        <v>4.6100000000000002E-2</v>
      </c>
      <c r="T320" s="13">
        <v>6.3299999999999995E-2</v>
      </c>
      <c r="U320" s="14" t="s">
        <v>247</v>
      </c>
      <c r="V320" s="15">
        <v>0.99990000000000001</v>
      </c>
    </row>
    <row r="321" spans="2:22" ht="30" x14ac:dyDescent="0.25">
      <c r="B321" s="7">
        <v>1477</v>
      </c>
      <c r="C321" s="7" t="s">
        <v>194</v>
      </c>
      <c r="D321" s="8" t="s">
        <v>227</v>
      </c>
      <c r="E321" s="7"/>
      <c r="F321" s="7" t="s">
        <v>263</v>
      </c>
      <c r="G321" s="9" t="s">
        <v>229</v>
      </c>
      <c r="H321" s="10">
        <v>44652</v>
      </c>
      <c r="I321" s="11">
        <f>K321*L321</f>
        <v>1945.94102</v>
      </c>
      <c r="J321" s="11">
        <f>K321-I321</f>
        <v>35.66897999999992</v>
      </c>
      <c r="K321" s="11">
        <v>1981.61</v>
      </c>
      <c r="L321" s="12">
        <v>0.98199999999999998</v>
      </c>
      <c r="M321" s="11">
        <v>104.59</v>
      </c>
      <c r="N321" s="11">
        <v>463.83</v>
      </c>
      <c r="O321" s="13">
        <v>6.7000000000000002E-3</v>
      </c>
      <c r="P321" s="13">
        <v>0.43819999999999998</v>
      </c>
      <c r="Q321" s="13">
        <v>0.42</v>
      </c>
      <c r="R321" s="13">
        <v>0.1037</v>
      </c>
      <c r="S321" s="13"/>
      <c r="T321" s="13">
        <v>3.15E-2</v>
      </c>
      <c r="U321" s="14" t="s">
        <v>230</v>
      </c>
      <c r="V321" s="15">
        <f>SUM(O321:T321)</f>
        <v>1.0001</v>
      </c>
    </row>
    <row r="322" spans="2:22" ht="30" x14ac:dyDescent="0.25">
      <c r="B322" s="7">
        <v>868</v>
      </c>
      <c r="C322" s="7" t="s">
        <v>194</v>
      </c>
      <c r="D322" s="8" t="s">
        <v>227</v>
      </c>
      <c r="E322" s="7"/>
      <c r="F322" s="7" t="s">
        <v>263</v>
      </c>
      <c r="G322" s="9" t="s">
        <v>229</v>
      </c>
      <c r="H322" s="10">
        <v>44256</v>
      </c>
      <c r="I322" s="11">
        <v>1761.8109999999999</v>
      </c>
      <c r="J322" s="11">
        <v>54.489000000000033</v>
      </c>
      <c r="K322" s="11">
        <v>1816.3</v>
      </c>
      <c r="L322" s="12">
        <v>0.97</v>
      </c>
      <c r="M322" s="11">
        <v>84.65</v>
      </c>
      <c r="N322" s="11">
        <v>238.27</v>
      </c>
      <c r="O322" s="13">
        <v>8.1799999999999998E-2</v>
      </c>
      <c r="P322" s="13"/>
      <c r="Q322" s="13">
        <v>0.28270000000000001</v>
      </c>
      <c r="R322" s="13"/>
      <c r="S322" s="13">
        <v>0.32779999999999998</v>
      </c>
      <c r="T322" s="13">
        <v>0.30780000000000002</v>
      </c>
      <c r="U322" s="14" t="s">
        <v>230</v>
      </c>
      <c r="V322" s="15">
        <v>1.0001</v>
      </c>
    </row>
    <row r="323" spans="2:22" ht="30" x14ac:dyDescent="0.25">
      <c r="B323" s="7">
        <v>958</v>
      </c>
      <c r="C323" s="7" t="s">
        <v>195</v>
      </c>
      <c r="D323" s="8" t="s">
        <v>227</v>
      </c>
      <c r="E323" s="7"/>
      <c r="F323" s="7" t="s">
        <v>241</v>
      </c>
      <c r="G323" s="9" t="s">
        <v>229</v>
      </c>
      <c r="H323" s="10">
        <v>44291</v>
      </c>
      <c r="I323" s="11">
        <v>2665.40337</v>
      </c>
      <c r="J323" s="11">
        <v>35.106630000000223</v>
      </c>
      <c r="K323" s="11">
        <v>2700.51</v>
      </c>
      <c r="L323" s="12">
        <v>0.98699999999999999</v>
      </c>
      <c r="M323" s="11">
        <v>1526.01</v>
      </c>
      <c r="N323" s="11">
        <v>2405.8200000000002</v>
      </c>
      <c r="O323" s="13">
        <v>9.4999999999999998E-3</v>
      </c>
      <c r="P323" s="13">
        <v>0.16339999999999999</v>
      </c>
      <c r="Q323" s="13">
        <v>0.67710000000000004</v>
      </c>
      <c r="R323" s="13">
        <v>0.1346</v>
      </c>
      <c r="S323" s="13"/>
      <c r="T323" s="13">
        <v>1.54E-2</v>
      </c>
      <c r="U323" s="14" t="s">
        <v>230</v>
      </c>
      <c r="V323" s="15">
        <v>1.0000000000000002</v>
      </c>
    </row>
    <row r="324" spans="2:22" ht="30" x14ac:dyDescent="0.25">
      <c r="B324" s="7">
        <v>2200</v>
      </c>
      <c r="C324" s="7" t="s">
        <v>195</v>
      </c>
      <c r="D324" s="8" t="s">
        <v>268</v>
      </c>
      <c r="E324" s="7"/>
      <c r="F324" s="7" t="s">
        <v>241</v>
      </c>
      <c r="G324" s="9" t="s">
        <v>229</v>
      </c>
      <c r="H324" s="10">
        <v>45064</v>
      </c>
      <c r="I324" s="11">
        <f>K324*L324</f>
        <v>0</v>
      </c>
      <c r="J324" s="11">
        <f>K324-I324</f>
        <v>0</v>
      </c>
      <c r="K324" s="11">
        <f>IFERROR(IF([1]!Tabla1[[#This Row],[POZO]]="",K323,VLOOKUP(C324,[2]Sheet1!$B$3:$E$1048576,2,FALSE)),0)</f>
        <v>0</v>
      </c>
      <c r="L324" s="12">
        <v>0.99580000000000002</v>
      </c>
      <c r="M324" s="11">
        <v>386.5002380048511</v>
      </c>
      <c r="N324" s="11">
        <v>856.26851277862659</v>
      </c>
      <c r="O324" s="13">
        <v>0.11336515513126491</v>
      </c>
      <c r="P324" s="13">
        <v>0.65513126491646778</v>
      </c>
      <c r="Q324" s="13">
        <v>7.9554494828957836E-2</v>
      </c>
      <c r="R324" s="13">
        <v>0.12291169451073986</v>
      </c>
      <c r="S324" s="13"/>
      <c r="T324" s="13">
        <v>2.9037390612569609E-2</v>
      </c>
      <c r="U324" s="14" t="s">
        <v>230</v>
      </c>
      <c r="V324" s="15">
        <f>SUM(O324:T324)</f>
        <v>1</v>
      </c>
    </row>
    <row r="325" spans="2:22" ht="30" x14ac:dyDescent="0.25">
      <c r="B325" s="7">
        <v>2191</v>
      </c>
      <c r="C325" s="7" t="s">
        <v>195</v>
      </c>
      <c r="D325" s="8" t="s">
        <v>227</v>
      </c>
      <c r="E325" s="7"/>
      <c r="F325" s="7" t="s">
        <v>241</v>
      </c>
      <c r="G325" s="9" t="s">
        <v>229</v>
      </c>
      <c r="H325" s="10">
        <v>45061</v>
      </c>
      <c r="I325" s="11">
        <f>K325*L325</f>
        <v>0</v>
      </c>
      <c r="J325" s="11">
        <f>K325-I325</f>
        <v>0</v>
      </c>
      <c r="K325" s="11">
        <f>IFERROR(IF([1]!Tabla1[[#This Row],[POZO]]="",K324,VLOOKUP(C325,[2]Sheet1!$B$3:$E$1048576,2,FALSE)),0)</f>
        <v>0</v>
      </c>
      <c r="L325" s="12">
        <v>0.99580000000000002</v>
      </c>
      <c r="M325" s="11">
        <v>93.669928912919147</v>
      </c>
      <c r="N325" s="11">
        <v>169.27629758781077</v>
      </c>
      <c r="O325" s="13">
        <v>0.11543747136967475</v>
      </c>
      <c r="P325" s="13">
        <v>0.78103527256069627</v>
      </c>
      <c r="Q325" s="13">
        <v>6.6422354557947774E-2</v>
      </c>
      <c r="R325" s="13">
        <v>2.5767292716445254E-2</v>
      </c>
      <c r="S325" s="13"/>
      <c r="T325" s="13">
        <v>1.1337608795235914E-2</v>
      </c>
      <c r="U325" s="14" t="s">
        <v>230</v>
      </c>
      <c r="V325" s="15">
        <f>SUM(O325:T325)</f>
        <v>1</v>
      </c>
    </row>
    <row r="326" spans="2:22" ht="30" x14ac:dyDescent="0.25">
      <c r="B326" s="7">
        <v>869</v>
      </c>
      <c r="C326" s="7" t="s">
        <v>196</v>
      </c>
      <c r="D326" s="8" t="s">
        <v>227</v>
      </c>
      <c r="E326" s="7"/>
      <c r="F326" s="7" t="s">
        <v>250</v>
      </c>
      <c r="G326" s="9" t="s">
        <v>229</v>
      </c>
      <c r="H326" s="10">
        <v>44256</v>
      </c>
      <c r="I326" s="11">
        <v>122.9357</v>
      </c>
      <c r="J326" s="11">
        <v>15.194299999999998</v>
      </c>
      <c r="K326" s="11">
        <v>138.13</v>
      </c>
      <c r="L326" s="12">
        <v>0.89</v>
      </c>
      <c r="M326" s="11">
        <v>819.75</v>
      </c>
      <c r="N326" s="11">
        <v>1097.7</v>
      </c>
      <c r="O326" s="13">
        <v>6.1800000000000001E-2</v>
      </c>
      <c r="P326" s="13"/>
      <c r="Q326" s="13">
        <v>0.13619999999999999</v>
      </c>
      <c r="R326" s="13"/>
      <c r="S326" s="13">
        <v>0.63019999999999998</v>
      </c>
      <c r="T326" s="13">
        <v>0.17180000000000001</v>
      </c>
      <c r="U326" s="14" t="s">
        <v>230</v>
      </c>
      <c r="V326" s="15">
        <v>1</v>
      </c>
    </row>
    <row r="327" spans="2:22" ht="30" x14ac:dyDescent="0.25">
      <c r="B327" s="7">
        <v>2097</v>
      </c>
      <c r="C327" s="7" t="s">
        <v>196</v>
      </c>
      <c r="D327" s="8" t="s">
        <v>227</v>
      </c>
      <c r="E327" s="7"/>
      <c r="F327" s="7" t="s">
        <v>250</v>
      </c>
      <c r="G327" s="9" t="s">
        <v>229</v>
      </c>
      <c r="H327" s="10">
        <v>44953.333321759259</v>
      </c>
      <c r="I327" s="11">
        <f>K327*L327</f>
        <v>0</v>
      </c>
      <c r="J327" s="11">
        <f>K327-I327</f>
        <v>0</v>
      </c>
      <c r="K327" s="11">
        <f>IFERROR(IF([1]!Tabla1[[#This Row],[POZO]]="",K326,VLOOKUP(C327,[2]Sheet1!$B$3:$E$1048576,2,FALSE)),0)</f>
        <v>0</v>
      </c>
      <c r="L327" s="12">
        <v>0.99400000000000011</v>
      </c>
      <c r="M327" s="11">
        <v>372.52986055036035</v>
      </c>
      <c r="N327" s="11">
        <v>2448.9433165021615</v>
      </c>
      <c r="O327" s="13">
        <v>4.3828264758497319E-2</v>
      </c>
      <c r="P327" s="13">
        <v>0.24329159212880141</v>
      </c>
      <c r="Q327" s="13">
        <v>0.35241502683363146</v>
      </c>
      <c r="R327" s="13">
        <v>0.20572450805008946</v>
      </c>
      <c r="S327" s="13"/>
      <c r="T327" s="13">
        <v>0.15474060822898031</v>
      </c>
      <c r="U327" s="14" t="s">
        <v>230</v>
      </c>
      <c r="V327" s="15">
        <f>SUM(O327:T327)</f>
        <v>1</v>
      </c>
    </row>
    <row r="328" spans="2:22" ht="30" x14ac:dyDescent="0.25">
      <c r="B328" s="7">
        <v>2105</v>
      </c>
      <c r="C328" s="7" t="s">
        <v>196</v>
      </c>
      <c r="D328" s="8" t="s">
        <v>227</v>
      </c>
      <c r="E328" s="7"/>
      <c r="F328" s="7" t="s">
        <v>250</v>
      </c>
      <c r="G328" s="9" t="s">
        <v>229</v>
      </c>
      <c r="H328" s="10">
        <v>45028</v>
      </c>
      <c r="I328" s="11">
        <f>K328*L328</f>
        <v>2768.9659200000001</v>
      </c>
      <c r="J328" s="11">
        <f>K328-I328</f>
        <v>16.71407999999974</v>
      </c>
      <c r="K328" s="11">
        <v>2785.68</v>
      </c>
      <c r="L328" s="12">
        <v>0.99400000000000011</v>
      </c>
      <c r="M328" s="11">
        <v>252.68533371033081</v>
      </c>
      <c r="N328" s="11">
        <v>327.44652601446808</v>
      </c>
      <c r="O328" s="13">
        <v>5.2797478329393223E-2</v>
      </c>
      <c r="P328" s="13">
        <v>0.22537431048069345</v>
      </c>
      <c r="Q328" s="13">
        <v>0.39243498817966899</v>
      </c>
      <c r="R328" s="13">
        <v>0.23010244286840029</v>
      </c>
      <c r="S328" s="13"/>
      <c r="T328" s="13">
        <v>9.9290780141843962E-2</v>
      </c>
      <c r="U328" s="14" t="s">
        <v>230</v>
      </c>
      <c r="V328" s="15">
        <f>SUM(O328:T328)</f>
        <v>1</v>
      </c>
    </row>
    <row r="329" spans="2:22" ht="30" x14ac:dyDescent="0.25">
      <c r="B329" s="7">
        <v>1686</v>
      </c>
      <c r="C329" s="7" t="s">
        <v>197</v>
      </c>
      <c r="D329" s="8" t="s">
        <v>227</v>
      </c>
      <c r="E329" s="7"/>
      <c r="F329" s="7">
        <v>0</v>
      </c>
      <c r="G329" s="9">
        <v>0</v>
      </c>
      <c r="H329" s="10">
        <v>44767</v>
      </c>
      <c r="I329" s="16">
        <f>K329*L329</f>
        <v>0</v>
      </c>
      <c r="J329" s="16">
        <f>K329-I329</f>
        <v>5000</v>
      </c>
      <c r="K329" s="11">
        <v>5000</v>
      </c>
      <c r="L329" s="12">
        <v>0</v>
      </c>
      <c r="M329" s="16">
        <v>164.55</v>
      </c>
      <c r="N329" s="16">
        <v>367.43</v>
      </c>
      <c r="O329" s="17">
        <v>4.0800000000000003E-2</v>
      </c>
      <c r="P329" s="17">
        <v>0.17699999999999999</v>
      </c>
      <c r="Q329" s="17">
        <v>0.42820000000000003</v>
      </c>
      <c r="R329" s="17">
        <v>0.33329999999999999</v>
      </c>
      <c r="S329" s="17"/>
      <c r="T329" s="17">
        <v>2.06E-2</v>
      </c>
      <c r="U329" s="7" t="s">
        <v>230</v>
      </c>
      <c r="V329" s="15">
        <f>SUM(O329:T329)</f>
        <v>0.99990000000000001</v>
      </c>
    </row>
    <row r="330" spans="2:22" ht="30" x14ac:dyDescent="0.25">
      <c r="B330" s="7">
        <v>456</v>
      </c>
      <c r="C330" s="7" t="s">
        <v>198</v>
      </c>
      <c r="D330" s="8" t="s">
        <v>227</v>
      </c>
      <c r="E330" s="7"/>
      <c r="F330" s="7" t="s">
        <v>284</v>
      </c>
      <c r="G330" s="9" t="s">
        <v>229</v>
      </c>
      <c r="H330" s="10">
        <v>44153</v>
      </c>
      <c r="I330" s="11">
        <v>2598.6</v>
      </c>
      <c r="J330" s="11">
        <v>241.40000000000009</v>
      </c>
      <c r="K330" s="11">
        <v>2840</v>
      </c>
      <c r="L330" s="12">
        <v>0.91500000000000004</v>
      </c>
      <c r="M330" s="11">
        <v>92.94</v>
      </c>
      <c r="N330" s="11">
        <v>94.19</v>
      </c>
      <c r="O330" s="13">
        <v>3.9800000000000002E-2</v>
      </c>
      <c r="P330" s="13"/>
      <c r="Q330" s="13">
        <v>0.25080000000000002</v>
      </c>
      <c r="R330" s="13"/>
      <c r="S330" s="13">
        <v>0.40579999999999999</v>
      </c>
      <c r="T330" s="13">
        <v>0.30359999999999998</v>
      </c>
      <c r="U330" s="14" t="s">
        <v>247</v>
      </c>
      <c r="V330" s="15">
        <v>1</v>
      </c>
    </row>
    <row r="331" spans="2:22" ht="30" x14ac:dyDescent="0.25">
      <c r="B331" s="7">
        <v>1100</v>
      </c>
      <c r="C331" s="7" t="s">
        <v>198</v>
      </c>
      <c r="D331" s="8" t="s">
        <v>227</v>
      </c>
      <c r="E331" s="7"/>
      <c r="F331" s="7" t="s">
        <v>284</v>
      </c>
      <c r="G331" s="9" t="s">
        <v>229</v>
      </c>
      <c r="H331" s="10">
        <v>44350</v>
      </c>
      <c r="I331" s="11">
        <v>2598.6</v>
      </c>
      <c r="J331" s="11">
        <v>241.40000000000009</v>
      </c>
      <c r="K331" s="11">
        <v>2840</v>
      </c>
      <c r="L331" s="12">
        <v>0.91500000000000004</v>
      </c>
      <c r="M331" s="11">
        <v>92.38</v>
      </c>
      <c r="N331" s="11">
        <v>157.57</v>
      </c>
      <c r="O331" s="13">
        <v>0.1237</v>
      </c>
      <c r="P331" s="13">
        <v>0.1195</v>
      </c>
      <c r="Q331" s="13">
        <v>0.1646</v>
      </c>
      <c r="R331" s="13">
        <v>0.3952</v>
      </c>
      <c r="S331" s="13"/>
      <c r="T331" s="13">
        <v>0.1971</v>
      </c>
      <c r="U331" s="14" t="s">
        <v>230</v>
      </c>
      <c r="V331" s="15">
        <v>1.0001</v>
      </c>
    </row>
    <row r="332" spans="2:22" ht="30" x14ac:dyDescent="0.25">
      <c r="B332" s="7">
        <v>1206</v>
      </c>
      <c r="C332" s="7" t="s">
        <v>199</v>
      </c>
      <c r="D332" s="8" t="s">
        <v>227</v>
      </c>
      <c r="E332" s="7"/>
      <c r="F332" s="7" t="s">
        <v>234</v>
      </c>
      <c r="G332" s="9" t="s">
        <v>229</v>
      </c>
      <c r="H332" s="10">
        <v>44414</v>
      </c>
      <c r="I332" s="11">
        <v>4610.2062999999998</v>
      </c>
      <c r="J332" s="11">
        <v>142.58370000000014</v>
      </c>
      <c r="K332" s="11">
        <v>4752.79</v>
      </c>
      <c r="L332" s="12">
        <v>0.97</v>
      </c>
      <c r="M332" s="11">
        <v>157.31</v>
      </c>
      <c r="N332" s="11">
        <v>383.53</v>
      </c>
      <c r="O332" s="13">
        <v>1.37E-2</v>
      </c>
      <c r="P332" s="13">
        <v>0.1903</v>
      </c>
      <c r="Q332" s="13">
        <v>0.53649999999999998</v>
      </c>
      <c r="R332" s="13">
        <v>0.18049999999999999</v>
      </c>
      <c r="S332" s="13"/>
      <c r="T332" s="13">
        <v>7.8899999999999998E-2</v>
      </c>
      <c r="U332" s="14" t="s">
        <v>230</v>
      </c>
      <c r="V332" s="15">
        <v>0.9998999999999999</v>
      </c>
    </row>
    <row r="333" spans="2:22" ht="30" x14ac:dyDescent="0.25">
      <c r="B333" s="7">
        <v>1103</v>
      </c>
      <c r="C333" s="7" t="s">
        <v>199</v>
      </c>
      <c r="D333" s="8" t="s">
        <v>227</v>
      </c>
      <c r="E333" s="7"/>
      <c r="F333" s="7" t="s">
        <v>234</v>
      </c>
      <c r="G333" s="9" t="s">
        <v>229</v>
      </c>
      <c r="H333" s="10">
        <v>44350</v>
      </c>
      <c r="I333" s="11">
        <v>3982</v>
      </c>
      <c r="J333" s="11">
        <v>418</v>
      </c>
      <c r="K333" s="11">
        <v>4400</v>
      </c>
      <c r="L333" s="12">
        <v>0.90500000000000003</v>
      </c>
      <c r="M333" s="11">
        <v>101.35</v>
      </c>
      <c r="N333" s="11">
        <v>552.70000000000005</v>
      </c>
      <c r="O333" s="13">
        <v>5.6599999999999998E-2</v>
      </c>
      <c r="P333" s="13">
        <v>6.9099999999999995E-2</v>
      </c>
      <c r="Q333" s="13">
        <v>0.50439999999999996</v>
      </c>
      <c r="R333" s="13">
        <v>0.25559999999999999</v>
      </c>
      <c r="S333" s="13"/>
      <c r="T333" s="13">
        <v>0.1143</v>
      </c>
      <c r="U333" s="14" t="s">
        <v>230</v>
      </c>
      <c r="V333" s="15">
        <v>0.99999999999999989</v>
      </c>
    </row>
    <row r="334" spans="2:22" ht="30" x14ac:dyDescent="0.25">
      <c r="B334" s="7">
        <v>1919</v>
      </c>
      <c r="C334" s="7" t="s">
        <v>200</v>
      </c>
      <c r="D334" s="8" t="s">
        <v>227</v>
      </c>
      <c r="E334" s="7"/>
      <c r="F334" s="7" t="s">
        <v>241</v>
      </c>
      <c r="G334" s="9" t="s">
        <v>229</v>
      </c>
      <c r="H334" s="10">
        <v>44873</v>
      </c>
      <c r="I334" s="11">
        <f>K334*L334</f>
        <v>18504.337159999999</v>
      </c>
      <c r="J334" s="11">
        <f>K334-I334</f>
        <v>37.082839999999123</v>
      </c>
      <c r="K334" s="11">
        <v>18541.419999999998</v>
      </c>
      <c r="L334" s="12">
        <v>0.998</v>
      </c>
      <c r="M334" s="11">
        <v>1024.6600000000001</v>
      </c>
      <c r="N334" s="11">
        <v>1735.53</v>
      </c>
      <c r="O334" s="13">
        <v>7.3099999999999998E-2</v>
      </c>
      <c r="P334" s="13">
        <v>0.2019</v>
      </c>
      <c r="Q334" s="13">
        <v>0.61029999999999995</v>
      </c>
      <c r="R334" s="13">
        <v>0.1118</v>
      </c>
      <c r="S334" s="13"/>
      <c r="T334" s="13">
        <v>2.8999999999999998E-3</v>
      </c>
      <c r="U334" s="14" t="s">
        <v>230</v>
      </c>
      <c r="V334" s="15">
        <f>SUM(O334:T334)</f>
        <v>1</v>
      </c>
    </row>
    <row r="335" spans="2:22" ht="30" x14ac:dyDescent="0.25">
      <c r="B335" s="7">
        <v>2110</v>
      </c>
      <c r="C335" s="7" t="s">
        <v>200</v>
      </c>
      <c r="D335" s="8" t="s">
        <v>227</v>
      </c>
      <c r="E335" s="7"/>
      <c r="F335" s="7" t="s">
        <v>241</v>
      </c>
      <c r="G335" s="9" t="s">
        <v>229</v>
      </c>
      <c r="H335" s="10">
        <v>45029</v>
      </c>
      <c r="I335" s="11">
        <f>K335*L335</f>
        <v>3632.5061639999999</v>
      </c>
      <c r="J335" s="11">
        <f>K335-I335</f>
        <v>80.573836000000028</v>
      </c>
      <c r="K335" s="11">
        <v>3713.08</v>
      </c>
      <c r="L335" s="12">
        <v>0.97829999999999995</v>
      </c>
      <c r="M335" s="11">
        <v>828.23915549259027</v>
      </c>
      <c r="N335" s="11">
        <v>3350.2679550621915</v>
      </c>
      <c r="O335" s="13">
        <v>2.3149264528574871E-2</v>
      </c>
      <c r="P335" s="13">
        <v>0.23510971786833856</v>
      </c>
      <c r="Q335" s="13">
        <v>0.62406558958283087</v>
      </c>
      <c r="R335" s="13">
        <v>6.6312997347480099E-2</v>
      </c>
      <c r="S335" s="13"/>
      <c r="T335" s="13">
        <v>5.1362430672775496E-2</v>
      </c>
      <c r="U335" s="14" t="s">
        <v>230</v>
      </c>
      <c r="V335" s="15">
        <f>SUM(O335:T335)</f>
        <v>0.99999999999999989</v>
      </c>
    </row>
    <row r="336" spans="2:22" ht="30" x14ac:dyDescent="0.25">
      <c r="B336" s="7">
        <v>1197</v>
      </c>
      <c r="C336" s="7" t="s">
        <v>201</v>
      </c>
      <c r="D336" s="8" t="s">
        <v>227</v>
      </c>
      <c r="E336" s="7"/>
      <c r="F336" s="7" t="s">
        <v>269</v>
      </c>
      <c r="G336" s="9" t="s">
        <v>235</v>
      </c>
      <c r="H336" s="10">
        <v>44411</v>
      </c>
      <c r="I336" s="11">
        <v>1070.915</v>
      </c>
      <c r="J336" s="11">
        <v>3910.085</v>
      </c>
      <c r="K336" s="11">
        <v>4981</v>
      </c>
      <c r="L336" s="12">
        <v>0.215</v>
      </c>
      <c r="M336" s="11">
        <v>105.1</v>
      </c>
      <c r="N336" s="11">
        <v>346.26</v>
      </c>
      <c r="O336" s="13">
        <v>1.38E-2</v>
      </c>
      <c r="P336" s="13">
        <v>0.15190000000000001</v>
      </c>
      <c r="Q336" s="13">
        <v>0.65680000000000005</v>
      </c>
      <c r="R336" s="13">
        <v>0.125</v>
      </c>
      <c r="S336" s="13"/>
      <c r="T336" s="13">
        <v>5.2499999999999998E-2</v>
      </c>
      <c r="U336" s="14" t="s">
        <v>230</v>
      </c>
      <c r="V336" s="15">
        <v>1</v>
      </c>
    </row>
    <row r="337" spans="2:22" ht="30" x14ac:dyDescent="0.25">
      <c r="B337" s="7">
        <v>1271</v>
      </c>
      <c r="C337" s="7" t="s">
        <v>202</v>
      </c>
      <c r="D337" s="8" t="s">
        <v>227</v>
      </c>
      <c r="E337" s="7"/>
      <c r="F337" s="7"/>
      <c r="G337" s="9"/>
      <c r="H337" s="10">
        <v>44456</v>
      </c>
      <c r="I337" s="11">
        <v>205.14</v>
      </c>
      <c r="J337" s="11">
        <v>3213.86</v>
      </c>
      <c r="K337" s="11">
        <v>3419</v>
      </c>
      <c r="L337" s="12">
        <v>0.06</v>
      </c>
      <c r="M337" s="11">
        <v>125.26</v>
      </c>
      <c r="N337" s="11">
        <v>221.41</v>
      </c>
      <c r="O337" s="13">
        <v>2.2100000000000002E-2</v>
      </c>
      <c r="P337" s="13">
        <v>6.8500000000000005E-2</v>
      </c>
      <c r="Q337" s="13">
        <v>0.311</v>
      </c>
      <c r="R337" s="13">
        <v>0.3417</v>
      </c>
      <c r="S337" s="13"/>
      <c r="T337" s="13">
        <v>0.25679999999999997</v>
      </c>
      <c r="U337" s="14" t="s">
        <v>230</v>
      </c>
      <c r="V337" s="15">
        <v>1.0001</v>
      </c>
    </row>
    <row r="338" spans="2:22" ht="30" x14ac:dyDescent="0.25">
      <c r="B338" s="7">
        <v>1363</v>
      </c>
      <c r="C338" s="7" t="s">
        <v>203</v>
      </c>
      <c r="D338" s="8" t="s">
        <v>227</v>
      </c>
      <c r="E338" s="7"/>
      <c r="F338" s="7">
        <v>0</v>
      </c>
      <c r="G338" s="9" t="s">
        <v>235</v>
      </c>
      <c r="H338" s="10">
        <v>44539</v>
      </c>
      <c r="I338" s="11">
        <f>K338*L338</f>
        <v>3350</v>
      </c>
      <c r="J338" s="11">
        <f>K338-I338</f>
        <v>3350</v>
      </c>
      <c r="K338" s="11">
        <v>6700</v>
      </c>
      <c r="L338" s="12">
        <v>0.5</v>
      </c>
      <c r="M338" s="11">
        <v>1912.15</v>
      </c>
      <c r="N338" s="11">
        <v>5821.5</v>
      </c>
      <c r="O338" s="13">
        <v>0.6613</v>
      </c>
      <c r="P338" s="13">
        <v>0.29870000000000002</v>
      </c>
      <c r="Q338" s="13">
        <v>1.9800000000000002E-2</v>
      </c>
      <c r="R338" s="13">
        <v>6.8999999999999999E-3</v>
      </c>
      <c r="S338" s="13"/>
      <c r="T338" s="13">
        <v>1.34E-2</v>
      </c>
      <c r="U338" s="14" t="s">
        <v>230</v>
      </c>
      <c r="V338" s="15">
        <f>SUM(O338:T338)</f>
        <v>1.0001</v>
      </c>
    </row>
    <row r="339" spans="2:22" ht="30" x14ac:dyDescent="0.25">
      <c r="B339" s="7">
        <v>1365</v>
      </c>
      <c r="C339" s="7" t="s">
        <v>203</v>
      </c>
      <c r="D339" s="8" t="s">
        <v>227</v>
      </c>
      <c r="E339" s="7"/>
      <c r="F339" s="7">
        <v>0</v>
      </c>
      <c r="G339" s="9" t="s">
        <v>235</v>
      </c>
      <c r="H339" s="10">
        <v>44540</v>
      </c>
      <c r="I339" s="11">
        <f>K339*L339</f>
        <v>3350</v>
      </c>
      <c r="J339" s="11">
        <f>K339-I339</f>
        <v>3350</v>
      </c>
      <c r="K339" s="11">
        <v>6700</v>
      </c>
      <c r="L339" s="12">
        <v>0.5</v>
      </c>
      <c r="M339" s="11">
        <v>636.79</v>
      </c>
      <c r="N339" s="11">
        <v>2664.12</v>
      </c>
      <c r="O339" s="13">
        <v>0.32200000000000001</v>
      </c>
      <c r="P339" s="13">
        <v>0.28670000000000001</v>
      </c>
      <c r="Q339" s="13">
        <v>0.24149999999999999</v>
      </c>
      <c r="R339" s="13">
        <v>9.6000000000000002E-2</v>
      </c>
      <c r="S339" s="13"/>
      <c r="T339" s="13">
        <v>5.3699999999999998E-2</v>
      </c>
      <c r="U339" s="14" t="s">
        <v>230</v>
      </c>
      <c r="V339" s="15">
        <f>SUM(O339:T339)</f>
        <v>0.99990000000000001</v>
      </c>
    </row>
    <row r="340" spans="2:22" x14ac:dyDescent="0.25">
      <c r="B340" s="7">
        <v>2143</v>
      </c>
      <c r="C340" s="7" t="s">
        <v>204</v>
      </c>
      <c r="D340" s="8" t="s">
        <v>227</v>
      </c>
      <c r="E340" s="7"/>
      <c r="F340" s="7">
        <f>IFERROR(VLOOKUP(C340,[2]Sheet1!$B$3:$I$1048576,7,FALSE),0)</f>
        <v>0</v>
      </c>
      <c r="G340" s="9">
        <f>IFERROR(VLOOKUP(C340,[2]Sheet1!$B$3:$K$1048576,9,FALSE),0)</f>
        <v>0</v>
      </c>
      <c r="H340" s="10">
        <v>45041</v>
      </c>
      <c r="I340" s="11">
        <f>K340*L340</f>
        <v>4540.96</v>
      </c>
      <c r="J340" s="11">
        <f>K340-I340</f>
        <v>3539.04</v>
      </c>
      <c r="K340" s="11">
        <v>8080</v>
      </c>
      <c r="L340" s="12">
        <v>0.56200000000000006</v>
      </c>
      <c r="M340" s="11">
        <v>83.138704660121576</v>
      </c>
      <c r="N340" s="11">
        <v>226.47813406867579</v>
      </c>
      <c r="O340" s="13">
        <v>6.2565172054223142E-2</v>
      </c>
      <c r="P340" s="13">
        <v>0.54535974973931167</v>
      </c>
      <c r="Q340" s="13">
        <v>0.27007299270072987</v>
      </c>
      <c r="R340" s="13">
        <v>8.6548488008342014E-2</v>
      </c>
      <c r="S340" s="13"/>
      <c r="T340" s="13">
        <v>3.5453597497393109E-2</v>
      </c>
      <c r="U340" s="14" t="s">
        <v>230</v>
      </c>
      <c r="V340" s="15">
        <f>SUM(O340:T340)</f>
        <v>0.99999999999999978</v>
      </c>
    </row>
    <row r="341" spans="2:22" x14ac:dyDescent="0.25">
      <c r="B341" s="7">
        <v>952</v>
      </c>
      <c r="C341" s="7" t="s">
        <v>205</v>
      </c>
      <c r="D341" s="8" t="s">
        <v>227</v>
      </c>
      <c r="E341" s="7"/>
      <c r="F341" s="7" t="s">
        <v>278</v>
      </c>
      <c r="G341" s="9" t="s">
        <v>235</v>
      </c>
      <c r="H341" s="10">
        <v>44286</v>
      </c>
      <c r="I341" s="11">
        <v>2789.52</v>
      </c>
      <c r="J341" s="11">
        <v>42.480000000000018</v>
      </c>
      <c r="K341" s="11">
        <v>2832</v>
      </c>
      <c r="L341" s="12">
        <v>0.98499999999999999</v>
      </c>
      <c r="M341" s="11">
        <v>220.81</v>
      </c>
      <c r="N341" s="11">
        <v>308.08</v>
      </c>
      <c r="O341" s="13">
        <v>0.16250000000000001</v>
      </c>
      <c r="P341" s="13">
        <v>0.33750000000000002</v>
      </c>
      <c r="Q341" s="13">
        <v>0.26250000000000001</v>
      </c>
      <c r="R341" s="13">
        <v>7.4999999999999997E-2</v>
      </c>
      <c r="S341" s="13"/>
      <c r="T341" s="13">
        <v>0.16250000000000001</v>
      </c>
      <c r="U341" s="14" t="s">
        <v>247</v>
      </c>
      <c r="V341" s="15">
        <v>0.99999999999999989</v>
      </c>
    </row>
    <row r="342" spans="2:22" ht="30" x14ac:dyDescent="0.25">
      <c r="B342" s="7">
        <v>1986</v>
      </c>
      <c r="C342" s="7" t="s">
        <v>206</v>
      </c>
      <c r="D342" s="8" t="s">
        <v>227</v>
      </c>
      <c r="E342" s="7"/>
      <c r="F342" s="7">
        <v>0</v>
      </c>
      <c r="G342" s="9" t="s">
        <v>235</v>
      </c>
      <c r="H342" s="10">
        <v>44909</v>
      </c>
      <c r="I342" s="11">
        <f>K342*L342</f>
        <v>205.02</v>
      </c>
      <c r="J342" s="11">
        <f>K342-I342</f>
        <v>406.98</v>
      </c>
      <c r="K342" s="11">
        <v>612</v>
      </c>
      <c r="L342" s="12">
        <v>0.33500000000000002</v>
      </c>
      <c r="M342" s="11">
        <v>98.39</v>
      </c>
      <c r="N342" s="11">
        <v>171.06</v>
      </c>
      <c r="O342" s="13">
        <v>2.9100000000000001E-2</v>
      </c>
      <c r="P342" s="13">
        <v>0.28910000000000002</v>
      </c>
      <c r="Q342" s="13">
        <v>0.45069999999999999</v>
      </c>
      <c r="R342" s="13">
        <v>0.13089999999999999</v>
      </c>
      <c r="S342" s="13"/>
      <c r="T342" s="13">
        <v>0.1002</v>
      </c>
      <c r="U342" s="14" t="s">
        <v>230</v>
      </c>
      <c r="V342" s="15">
        <f>SUM(O342:T342)</f>
        <v>1</v>
      </c>
    </row>
    <row r="343" spans="2:22" ht="30" x14ac:dyDescent="0.25">
      <c r="B343" s="7">
        <v>1675</v>
      </c>
      <c r="C343" s="7" t="s">
        <v>207</v>
      </c>
      <c r="D343" s="8" t="s">
        <v>227</v>
      </c>
      <c r="E343" s="7"/>
      <c r="F343" s="7">
        <v>0</v>
      </c>
      <c r="G343" s="9">
        <v>0</v>
      </c>
      <c r="H343" s="10">
        <v>44763</v>
      </c>
      <c r="I343" s="16">
        <f>K343*L343</f>
        <v>0</v>
      </c>
      <c r="J343" s="16">
        <f>K343-I343</f>
        <v>7200</v>
      </c>
      <c r="K343" s="11">
        <v>7200</v>
      </c>
      <c r="L343" s="12">
        <v>0</v>
      </c>
      <c r="M343" s="16">
        <v>138.01</v>
      </c>
      <c r="N343" s="16">
        <v>218.8</v>
      </c>
      <c r="O343" s="17">
        <v>0.27629999999999999</v>
      </c>
      <c r="P343" s="17">
        <v>0.3387</v>
      </c>
      <c r="Q343" s="17">
        <v>0.22520000000000001</v>
      </c>
      <c r="R343" s="17">
        <v>0.11650000000000001</v>
      </c>
      <c r="S343" s="17"/>
      <c r="T343" s="17">
        <v>4.3299999999999998E-2</v>
      </c>
      <c r="U343" s="7" t="s">
        <v>230</v>
      </c>
      <c r="V343" s="15">
        <f>SUM(O343:T343)</f>
        <v>1</v>
      </c>
    </row>
    <row r="344" spans="2:22" ht="30" x14ac:dyDescent="0.25">
      <c r="B344" s="7">
        <v>2174</v>
      </c>
      <c r="C344" s="7" t="s">
        <v>208</v>
      </c>
      <c r="D344" s="8" t="s">
        <v>227</v>
      </c>
      <c r="E344" s="7"/>
      <c r="F344" s="7">
        <f>IFERROR(VLOOKUP(C344,[2]Sheet1!$B$3:$I$1048576,7,FALSE),0)</f>
        <v>0</v>
      </c>
      <c r="G344" s="9" t="s">
        <v>235</v>
      </c>
      <c r="H344" s="10">
        <v>45055</v>
      </c>
      <c r="I344" s="11">
        <f>K344*L344</f>
        <v>1785.6</v>
      </c>
      <c r="J344" s="11">
        <f>K344-I344</f>
        <v>3174.4</v>
      </c>
      <c r="K344" s="11">
        <v>4960</v>
      </c>
      <c r="L344" s="12">
        <v>0.36</v>
      </c>
      <c r="M344" s="11">
        <v>588.5314757353359</v>
      </c>
      <c r="N344" s="11">
        <v>1099.6627596125497</v>
      </c>
      <c r="O344" s="13">
        <v>2.4782141054064139E-2</v>
      </c>
      <c r="P344" s="13">
        <v>0.61033430647320941</v>
      </c>
      <c r="Q344" s="13">
        <v>0.32684329521259087</v>
      </c>
      <c r="R344" s="13">
        <v>2.1094453102706502E-2</v>
      </c>
      <c r="S344" s="13"/>
      <c r="T344" s="13">
        <v>1.6945804157429155E-2</v>
      </c>
      <c r="U344" s="14" t="s">
        <v>230</v>
      </c>
      <c r="V344" s="15">
        <f>SUM(O344:T344)</f>
        <v>1.0000000000000002</v>
      </c>
    </row>
    <row r="345" spans="2:22" ht="30" x14ac:dyDescent="0.25">
      <c r="B345" s="7">
        <v>2175</v>
      </c>
      <c r="C345" s="7" t="s">
        <v>209</v>
      </c>
      <c r="D345" s="8" t="s">
        <v>227</v>
      </c>
      <c r="E345" s="7"/>
      <c r="F345" s="7">
        <f>IFERROR(VLOOKUP(C345,[2]Sheet1!$B$3:$I$1048576,7,FALSE),0)</f>
        <v>0</v>
      </c>
      <c r="G345" s="9" t="s">
        <v>235</v>
      </c>
      <c r="H345" s="10">
        <v>45055</v>
      </c>
      <c r="I345" s="11">
        <f>K345*L345</f>
        <v>4540.96</v>
      </c>
      <c r="J345" s="11">
        <f>K345-I345</f>
        <v>3539.04</v>
      </c>
      <c r="K345" s="11">
        <v>8080</v>
      </c>
      <c r="L345" s="12">
        <v>0.56200000000000006</v>
      </c>
      <c r="M345" s="11">
        <v>890.92744682207172</v>
      </c>
      <c r="N345" s="11">
        <v>2084.001143940096</v>
      </c>
      <c r="O345" s="13">
        <v>2.4782141054064139E-2</v>
      </c>
      <c r="P345" s="13">
        <v>0.61033430647320941</v>
      </c>
      <c r="Q345" s="13">
        <v>0.32684329521259087</v>
      </c>
      <c r="R345" s="13">
        <v>2.1094453102706502E-2</v>
      </c>
      <c r="S345" s="13"/>
      <c r="T345" s="13">
        <v>1.6945804157429155E-2</v>
      </c>
      <c r="U345" s="14" t="s">
        <v>230</v>
      </c>
      <c r="V345" s="15">
        <f>SUM(O345:T345)</f>
        <v>1.0000000000000002</v>
      </c>
    </row>
    <row r="346" spans="2:22" ht="30" x14ac:dyDescent="0.25">
      <c r="B346" s="7">
        <v>1335</v>
      </c>
      <c r="C346" s="7" t="s">
        <v>210</v>
      </c>
      <c r="D346" s="8" t="s">
        <v>227</v>
      </c>
      <c r="E346" s="7"/>
      <c r="F346" s="7" t="s">
        <v>234</v>
      </c>
      <c r="G346" s="9" t="s">
        <v>291</v>
      </c>
      <c r="H346" s="10">
        <v>44517</v>
      </c>
      <c r="I346" s="11">
        <v>187.44</v>
      </c>
      <c r="J346" s="11">
        <v>76.56</v>
      </c>
      <c r="K346" s="11">
        <v>264</v>
      </c>
      <c r="L346" s="12">
        <v>0.71</v>
      </c>
      <c r="M346" s="11">
        <v>169.68</v>
      </c>
      <c r="N346" s="11">
        <v>393.18</v>
      </c>
      <c r="O346" s="13">
        <v>4.3E-3</v>
      </c>
      <c r="P346" s="13">
        <v>0.11559999999999999</v>
      </c>
      <c r="Q346" s="13">
        <v>0.65710000000000002</v>
      </c>
      <c r="R346" s="13">
        <v>0.2172</v>
      </c>
      <c r="S346" s="13"/>
      <c r="T346" s="13">
        <v>5.7999999999999996E-3</v>
      </c>
      <c r="U346" s="14" t="s">
        <v>230</v>
      </c>
      <c r="V346" s="15">
        <v>1</v>
      </c>
    </row>
    <row r="347" spans="2:22" x14ac:dyDescent="0.25">
      <c r="B347" s="7"/>
      <c r="C347" s="7"/>
      <c r="D347" s="8"/>
      <c r="E347" s="7"/>
      <c r="F347" s="7"/>
      <c r="G347" s="9">
        <v>0</v>
      </c>
      <c r="H347" s="10">
        <v>44068</v>
      </c>
      <c r="I347" s="11">
        <v>3589.0614999999998</v>
      </c>
      <c r="J347" s="11">
        <v>125.9385000000002</v>
      </c>
      <c r="K347" s="11">
        <v>3715</v>
      </c>
      <c r="L347" s="12">
        <v>0.96609999999999996</v>
      </c>
      <c r="M347" s="11">
        <v>540.69000000000005</v>
      </c>
      <c r="N347" s="11">
        <v>963.84</v>
      </c>
      <c r="O347" s="13">
        <v>0.31169999999999998</v>
      </c>
      <c r="P347" s="13"/>
      <c r="Q347" s="13">
        <v>0.62339999999999995</v>
      </c>
      <c r="R347" s="13"/>
      <c r="S347" s="13">
        <v>2.5899999999999999E-2</v>
      </c>
      <c r="T347" s="13">
        <v>3.9E-2</v>
      </c>
      <c r="U347" s="14" t="s">
        <v>230</v>
      </c>
      <c r="V347" s="15">
        <v>1</v>
      </c>
    </row>
    <row r="348" spans="2:22" x14ac:dyDescent="0.25">
      <c r="B348" s="7"/>
      <c r="C348" s="7"/>
      <c r="D348" s="8"/>
      <c r="E348" s="7"/>
      <c r="F348" s="7"/>
      <c r="G348" s="9">
        <v>0</v>
      </c>
      <c r="H348" s="10">
        <v>44271</v>
      </c>
      <c r="I348" s="11">
        <v>1029</v>
      </c>
      <c r="J348" s="11">
        <v>21</v>
      </c>
      <c r="K348" s="11">
        <v>1841.85</v>
      </c>
      <c r="L348" s="12">
        <v>0.98599999999999999</v>
      </c>
      <c r="M348" s="11">
        <v>458.58</v>
      </c>
      <c r="N348" s="11">
        <v>1062.55</v>
      </c>
      <c r="O348" s="13">
        <v>0.14000000000000001</v>
      </c>
      <c r="P348" s="13"/>
      <c r="Q348" s="13">
        <v>0.84099999999999997</v>
      </c>
      <c r="R348" s="13"/>
      <c r="S348" s="13">
        <v>1.38E-2</v>
      </c>
      <c r="T348" s="13">
        <v>5.1999999999999998E-3</v>
      </c>
      <c r="U348" s="14" t="s">
        <v>230</v>
      </c>
      <c r="V348" s="15">
        <v>1</v>
      </c>
    </row>
    <row r="349" spans="2:22" ht="30" x14ac:dyDescent="0.25">
      <c r="B349" s="7"/>
      <c r="C349" s="7"/>
      <c r="D349" s="8"/>
      <c r="E349" s="7"/>
      <c r="F349" s="7"/>
      <c r="G349" s="9">
        <v>0</v>
      </c>
      <c r="H349" s="10">
        <v>44180</v>
      </c>
      <c r="I349" s="11">
        <v>10714.525</v>
      </c>
      <c r="J349" s="11">
        <v>35.475000000000364</v>
      </c>
      <c r="K349" s="11">
        <v>2115.48</v>
      </c>
      <c r="L349" s="12">
        <v>0.97299999999999998</v>
      </c>
      <c r="M349" s="11">
        <v>401.82</v>
      </c>
      <c r="N349" s="11">
        <v>1125.3699999999999</v>
      </c>
      <c r="O349" s="13">
        <v>0.35920000000000002</v>
      </c>
      <c r="P349" s="13"/>
      <c r="Q349" s="13">
        <v>0.52859999999999996</v>
      </c>
      <c r="R349" s="13"/>
      <c r="S349" s="13">
        <v>7.8100000000000003E-2</v>
      </c>
      <c r="T349" s="13">
        <v>3.4000000000000002E-2</v>
      </c>
      <c r="U349" s="14" t="s">
        <v>230</v>
      </c>
      <c r="V349" s="15">
        <v>0.99990000000000001</v>
      </c>
    </row>
    <row r="350" spans="2:22" x14ac:dyDescent="0.25">
      <c r="B350" s="7"/>
      <c r="C350" s="7"/>
      <c r="D350" s="8"/>
      <c r="E350" s="7"/>
      <c r="F350" s="7"/>
      <c r="G350" s="9">
        <v>0</v>
      </c>
      <c r="H350" s="10">
        <v>44286</v>
      </c>
      <c r="I350" s="11" t="e">
        <v>#N/A</v>
      </c>
      <c r="J350" s="11" t="e">
        <v>#N/A</v>
      </c>
      <c r="K350" s="11">
        <v>595.97</v>
      </c>
      <c r="L350" s="12">
        <v>0.88</v>
      </c>
      <c r="M350" s="11">
        <v>387.63</v>
      </c>
      <c r="N350" s="11">
        <v>3043.17</v>
      </c>
      <c r="O350" s="13">
        <v>4.3400000000000001E-2</v>
      </c>
      <c r="P350" s="13">
        <v>0.31929999999999997</v>
      </c>
      <c r="Q350" s="13">
        <v>0.501</v>
      </c>
      <c r="R350" s="13">
        <v>0.1046</v>
      </c>
      <c r="S350" s="13"/>
      <c r="T350" s="13">
        <v>3.1800000000000002E-2</v>
      </c>
      <c r="U350" s="14" t="s">
        <v>230</v>
      </c>
      <c r="V350" s="15">
        <v>1.0001</v>
      </c>
    </row>
    <row r="351" spans="2:22" ht="30" x14ac:dyDescent="0.25">
      <c r="B351" s="7"/>
      <c r="C351" s="7"/>
      <c r="D351" s="8"/>
      <c r="E351" s="7"/>
      <c r="F351" s="7"/>
      <c r="G351" s="9">
        <v>0</v>
      </c>
      <c r="H351" s="10">
        <v>44236</v>
      </c>
      <c r="I351" s="11">
        <v>981</v>
      </c>
      <c r="J351" s="11">
        <v>144</v>
      </c>
      <c r="K351" s="11">
        <v>3595</v>
      </c>
      <c r="L351" s="12">
        <v>0.93500000000000005</v>
      </c>
      <c r="M351" s="11">
        <v>386.43</v>
      </c>
      <c r="N351" s="11">
        <v>557.59</v>
      </c>
      <c r="O351" s="13">
        <v>0.23269999999999999</v>
      </c>
      <c r="P351" s="13"/>
      <c r="Q351" s="13">
        <v>0.73529999999999995</v>
      </c>
      <c r="R351" s="13"/>
      <c r="S351" s="13">
        <v>1.9800000000000002E-2</v>
      </c>
      <c r="T351" s="13">
        <v>1.2200000000000001E-2</v>
      </c>
      <c r="U351" s="14" t="s">
        <v>247</v>
      </c>
      <c r="V351" s="15">
        <v>1</v>
      </c>
    </row>
    <row r="352" spans="2:22" x14ac:dyDescent="0.25">
      <c r="B352" s="7"/>
      <c r="C352" s="7"/>
      <c r="D352" s="8"/>
      <c r="E352" s="7"/>
      <c r="F352" s="7"/>
      <c r="G352" s="9">
        <v>0</v>
      </c>
      <c r="H352" s="10">
        <v>44212</v>
      </c>
      <c r="I352" s="11">
        <v>345.59999999999997</v>
      </c>
      <c r="J352" s="11">
        <v>134.40000000000003</v>
      </c>
      <c r="K352" s="11">
        <v>480</v>
      </c>
      <c r="L352" s="12">
        <v>0.72</v>
      </c>
      <c r="M352" s="11">
        <v>284.16000000000003</v>
      </c>
      <c r="N352" s="11">
        <v>622.92999999999995</v>
      </c>
      <c r="O352" s="13">
        <v>0.42170000000000002</v>
      </c>
      <c r="P352" s="13"/>
      <c r="Q352" s="13">
        <v>0.17829999999999999</v>
      </c>
      <c r="R352" s="13"/>
      <c r="S352" s="13">
        <v>0.1928</v>
      </c>
      <c r="T352" s="13">
        <v>0.2072</v>
      </c>
      <c r="U352" s="14" t="s">
        <v>230</v>
      </c>
      <c r="V352" s="15">
        <v>1</v>
      </c>
    </row>
    <row r="353" spans="2:22" x14ac:dyDescent="0.25">
      <c r="B353" s="7"/>
      <c r="C353" s="7"/>
      <c r="D353" s="8"/>
      <c r="E353" s="7"/>
      <c r="F353" s="7"/>
      <c r="G353" s="9">
        <v>0</v>
      </c>
      <c r="H353" s="10">
        <v>44216</v>
      </c>
      <c r="I353" s="11">
        <v>4082.3999999999996</v>
      </c>
      <c r="J353" s="11">
        <v>237.60000000000036</v>
      </c>
      <c r="K353" s="11">
        <v>6945</v>
      </c>
      <c r="L353" s="12">
        <v>0.96599999999999997</v>
      </c>
      <c r="M353" s="11">
        <v>239.03</v>
      </c>
      <c r="N353" s="11">
        <v>867.35</v>
      </c>
      <c r="O353" s="13">
        <v>0.19220000000000001</v>
      </c>
      <c r="P353" s="13"/>
      <c r="Q353" s="13">
        <v>0.2969</v>
      </c>
      <c r="R353" s="13"/>
      <c r="S353" s="13">
        <v>0.24840000000000001</v>
      </c>
      <c r="T353" s="13">
        <v>0.26250000000000001</v>
      </c>
      <c r="U353" s="14" t="s">
        <v>230</v>
      </c>
      <c r="V353" s="15">
        <v>1</v>
      </c>
    </row>
    <row r="354" spans="2:22" x14ac:dyDescent="0.25">
      <c r="B354" s="7"/>
      <c r="C354" s="7"/>
      <c r="D354" s="8"/>
      <c r="E354" s="7"/>
      <c r="F354" s="7"/>
      <c r="G354" s="9">
        <v>0</v>
      </c>
      <c r="H354" s="10">
        <v>44211</v>
      </c>
      <c r="I354" s="11">
        <v>5996.3</v>
      </c>
      <c r="J354" s="11">
        <v>103.69999999999982</v>
      </c>
      <c r="K354" s="11">
        <v>10645</v>
      </c>
      <c r="L354" s="12">
        <v>0.98</v>
      </c>
      <c r="M354" s="11">
        <v>203.58</v>
      </c>
      <c r="N354" s="11">
        <v>310.77</v>
      </c>
      <c r="O354" s="13">
        <v>0.1147</v>
      </c>
      <c r="P354" s="13"/>
      <c r="Q354" s="13">
        <v>0.58840000000000003</v>
      </c>
      <c r="R354" s="13"/>
      <c r="S354" s="13">
        <v>0.18540000000000001</v>
      </c>
      <c r="T354" s="13">
        <v>0.1116</v>
      </c>
      <c r="U354" s="14" t="s">
        <v>230</v>
      </c>
      <c r="V354" s="15">
        <v>1.0001</v>
      </c>
    </row>
    <row r="355" spans="2:22" ht="30" x14ac:dyDescent="0.25">
      <c r="B355" s="7"/>
      <c r="C355" s="7"/>
      <c r="D355" s="8"/>
      <c r="E355" s="7"/>
      <c r="F355" s="7"/>
      <c r="G355" s="9">
        <v>0</v>
      </c>
      <c r="H355" s="10">
        <v>44069</v>
      </c>
      <c r="I355" s="11">
        <v>2776.72</v>
      </c>
      <c r="J355" s="11">
        <v>68.2800000000002</v>
      </c>
      <c r="K355" s="11">
        <v>2845</v>
      </c>
      <c r="L355" s="12">
        <v>0.97599999999999998</v>
      </c>
      <c r="M355" s="11">
        <v>163.80000000000001</v>
      </c>
      <c r="N355" s="11">
        <v>392.6</v>
      </c>
      <c r="O355" s="13">
        <v>0.25030000000000002</v>
      </c>
      <c r="P355" s="13"/>
      <c r="Q355" s="13">
        <v>0.69499999999999995</v>
      </c>
      <c r="R355" s="13"/>
      <c r="S355" s="13">
        <v>3.8699999999999998E-2</v>
      </c>
      <c r="T355" s="13">
        <v>1.61E-2</v>
      </c>
      <c r="U355" s="14" t="s">
        <v>230</v>
      </c>
      <c r="V355" s="15">
        <v>1.0001</v>
      </c>
    </row>
    <row r="356" spans="2:22" ht="30" x14ac:dyDescent="0.25">
      <c r="B356" s="7"/>
      <c r="C356" s="7"/>
      <c r="D356" s="8"/>
      <c r="E356" s="7"/>
      <c r="F356" s="7"/>
      <c r="G356" s="9">
        <v>0</v>
      </c>
      <c r="H356" s="10">
        <v>44254</v>
      </c>
      <c r="I356" s="11">
        <v>1029</v>
      </c>
      <c r="J356" s="11">
        <v>21</v>
      </c>
      <c r="K356" s="11">
        <v>1841.85</v>
      </c>
      <c r="L356" s="12">
        <v>0.98599999999999999</v>
      </c>
      <c r="M356" s="11">
        <v>140.19999999999999</v>
      </c>
      <c r="N356" s="11">
        <v>229.19</v>
      </c>
      <c r="O356" s="13">
        <v>1.7399999999999999E-2</v>
      </c>
      <c r="P356" s="13"/>
      <c r="Q356" s="13">
        <v>0.78120000000000001</v>
      </c>
      <c r="R356" s="13"/>
      <c r="S356" s="13">
        <v>0.13719999999999999</v>
      </c>
      <c r="T356" s="13">
        <v>6.4199999999999993E-2</v>
      </c>
      <c r="U356" s="14" t="s">
        <v>230</v>
      </c>
      <c r="V356" s="15">
        <v>1</v>
      </c>
    </row>
    <row r="357" spans="2:22" ht="30" x14ac:dyDescent="0.25">
      <c r="B357" s="7"/>
      <c r="C357" s="7"/>
      <c r="D357" s="8"/>
      <c r="E357" s="7"/>
      <c r="F357" s="7"/>
      <c r="G357" s="9">
        <v>0</v>
      </c>
      <c r="H357" s="10">
        <v>44177</v>
      </c>
      <c r="I357" s="11">
        <v>3326.4</v>
      </c>
      <c r="J357" s="11">
        <v>138.59999999999991</v>
      </c>
      <c r="K357" s="11">
        <v>2845</v>
      </c>
      <c r="L357" s="12">
        <v>0.97599999999999998</v>
      </c>
      <c r="M357" s="11">
        <v>132.87</v>
      </c>
      <c r="N357" s="11">
        <v>192.21</v>
      </c>
      <c r="O357" s="13">
        <v>0.3155</v>
      </c>
      <c r="P357" s="13"/>
      <c r="Q357" s="13">
        <v>0.4753</v>
      </c>
      <c r="R357" s="13"/>
      <c r="S357" s="13">
        <v>0.1552</v>
      </c>
      <c r="T357" s="13">
        <v>5.3999999999999999E-2</v>
      </c>
      <c r="U357" s="14" t="s">
        <v>247</v>
      </c>
      <c r="V357" s="15">
        <v>1</v>
      </c>
    </row>
    <row r="358" spans="2:22" ht="30" x14ac:dyDescent="0.25">
      <c r="B358" s="7"/>
      <c r="C358" s="7"/>
      <c r="D358" s="8">
        <v>0</v>
      </c>
      <c r="E358" s="7"/>
      <c r="F358" s="7"/>
      <c r="G358" s="9"/>
      <c r="H358" s="10">
        <v>44919</v>
      </c>
      <c r="I358" s="11">
        <f>K358*L358</f>
        <v>4193.8248300000005</v>
      </c>
      <c r="J358" s="11">
        <f>K358-I358</f>
        <v>46.64516999999978</v>
      </c>
      <c r="K358" s="11">
        <v>4240.47</v>
      </c>
      <c r="L358" s="12">
        <v>0.9890000000000001</v>
      </c>
      <c r="M358" s="11">
        <v>124.45</v>
      </c>
      <c r="N358" s="11">
        <v>293.86</v>
      </c>
      <c r="O358" s="13">
        <v>0.1021</v>
      </c>
      <c r="P358" s="13">
        <v>0.64810000000000001</v>
      </c>
      <c r="Q358" s="13">
        <v>0.20749999999999999</v>
      </c>
      <c r="R358" s="13">
        <v>2.3699999999999999E-2</v>
      </c>
      <c r="S358" s="13"/>
      <c r="T358" s="13">
        <v>1.8700000000000001E-2</v>
      </c>
      <c r="U358" s="14" t="s">
        <v>230</v>
      </c>
      <c r="V358" s="15">
        <f>SUM(O358:T358)</f>
        <v>1.0001</v>
      </c>
    </row>
    <row r="359" spans="2:22" ht="30" x14ac:dyDescent="0.25">
      <c r="B359" s="7"/>
      <c r="C359" s="7"/>
      <c r="D359" s="8"/>
      <c r="E359" s="7"/>
      <c r="F359" s="7"/>
      <c r="G359" s="9">
        <v>0</v>
      </c>
      <c r="H359" s="10">
        <v>44180</v>
      </c>
      <c r="I359" s="11">
        <v>3132.25</v>
      </c>
      <c r="J359" s="11">
        <v>217.75</v>
      </c>
      <c r="K359" s="11">
        <v>3833.47</v>
      </c>
      <c r="L359" s="12">
        <v>0.96499999999999997</v>
      </c>
      <c r="M359" s="11">
        <v>113.41</v>
      </c>
      <c r="N359" s="11">
        <v>172.27</v>
      </c>
      <c r="O359" s="13">
        <v>0.1852</v>
      </c>
      <c r="P359" s="13"/>
      <c r="Q359" s="13">
        <v>0.46679999999999999</v>
      </c>
      <c r="R359" s="13"/>
      <c r="S359" s="13">
        <v>0.29239999999999999</v>
      </c>
      <c r="T359" s="13">
        <v>5.5599999999999997E-2</v>
      </c>
      <c r="U359" s="14" t="s">
        <v>230</v>
      </c>
      <c r="V359" s="15">
        <v>1</v>
      </c>
    </row>
    <row r="360" spans="2:22" x14ac:dyDescent="0.25">
      <c r="B360" s="7"/>
      <c r="C360" s="7"/>
      <c r="D360" s="8"/>
      <c r="E360" s="7"/>
      <c r="F360" s="7"/>
      <c r="G360" s="9">
        <v>0</v>
      </c>
      <c r="H360" s="10">
        <v>44236</v>
      </c>
      <c r="I360" s="11">
        <v>6324.18</v>
      </c>
      <c r="J360" s="11">
        <v>215.81999999999971</v>
      </c>
      <c r="K360" s="11">
        <v>7480</v>
      </c>
      <c r="L360" s="12">
        <v>0.98199999999999998</v>
      </c>
      <c r="M360" s="11">
        <v>111.93</v>
      </c>
      <c r="N360" s="11">
        <v>257.74</v>
      </c>
      <c r="O360" s="13">
        <v>0.41470000000000001</v>
      </c>
      <c r="P360" s="13"/>
      <c r="Q360" s="13">
        <v>0.47110000000000002</v>
      </c>
      <c r="R360" s="13"/>
      <c r="S360" s="13">
        <v>5.33E-2</v>
      </c>
      <c r="T360" s="13">
        <v>6.08E-2</v>
      </c>
      <c r="U360" s="14" t="s">
        <v>230</v>
      </c>
      <c r="V360" s="15">
        <v>0.99990000000000001</v>
      </c>
    </row>
    <row r="361" spans="2:22" ht="30" x14ac:dyDescent="0.25">
      <c r="B361" s="7"/>
      <c r="C361" s="7"/>
      <c r="D361" s="8"/>
      <c r="E361" s="7"/>
      <c r="F361" s="7">
        <v>0</v>
      </c>
      <c r="G361" s="9">
        <v>0</v>
      </c>
      <c r="H361" s="10">
        <v>44412</v>
      </c>
      <c r="I361" s="11">
        <v>1070.915</v>
      </c>
      <c r="J361" s="11">
        <v>3910.085</v>
      </c>
      <c r="K361" s="11">
        <v>4981</v>
      </c>
      <c r="L361" s="12">
        <v>0.215</v>
      </c>
      <c r="M361" s="11">
        <v>105.1</v>
      </c>
      <c r="N361" s="11">
        <v>346.26</v>
      </c>
      <c r="O361" s="13">
        <v>0.15629999999999999</v>
      </c>
      <c r="P361" s="13">
        <v>0.31130000000000002</v>
      </c>
      <c r="Q361" s="13">
        <v>0.2742</v>
      </c>
      <c r="R361" s="13">
        <v>0.1205</v>
      </c>
      <c r="S361" s="13"/>
      <c r="T361" s="13">
        <v>0.13769999999999999</v>
      </c>
      <c r="U361" s="14" t="s">
        <v>230</v>
      </c>
      <c r="V361" s="15">
        <v>1</v>
      </c>
    </row>
    <row r="362" spans="2:22" ht="30" x14ac:dyDescent="0.25">
      <c r="B362" s="7"/>
      <c r="C362" s="7"/>
      <c r="D362" s="8"/>
      <c r="E362" s="7"/>
      <c r="F362" s="7"/>
      <c r="G362" s="9">
        <v>0</v>
      </c>
      <c r="H362" s="10">
        <v>44063</v>
      </c>
      <c r="I362" s="11">
        <v>7345.36</v>
      </c>
      <c r="J362" s="11">
        <v>134.64000000000033</v>
      </c>
      <c r="K362" s="11">
        <v>7480</v>
      </c>
      <c r="L362" s="12">
        <v>0.98199999999999998</v>
      </c>
      <c r="M362" s="11">
        <v>96.54</v>
      </c>
      <c r="N362" s="11">
        <v>242.34</v>
      </c>
      <c r="O362" s="13">
        <v>0.48499999999999999</v>
      </c>
      <c r="P362" s="13"/>
      <c r="Q362" s="13">
        <v>0.19070000000000001</v>
      </c>
      <c r="R362" s="13"/>
      <c r="S362" s="13">
        <v>0.23719999999999999</v>
      </c>
      <c r="T362" s="13">
        <v>8.7099999999999997E-2</v>
      </c>
      <c r="U362" s="14" t="s">
        <v>230</v>
      </c>
      <c r="V362" s="15">
        <v>0.99999999999999989</v>
      </c>
    </row>
    <row r="363" spans="2:22" ht="30" x14ac:dyDescent="0.25">
      <c r="B363" s="7"/>
      <c r="C363" s="7"/>
      <c r="D363" s="8"/>
      <c r="E363" s="7"/>
      <c r="F363" s="7">
        <v>0</v>
      </c>
      <c r="G363" s="9">
        <v>0</v>
      </c>
      <c r="H363" s="10">
        <v>44753</v>
      </c>
      <c r="I363" s="16">
        <f>K363*L363</f>
        <v>12653.103060000001</v>
      </c>
      <c r="J363" s="16">
        <f>K363-I363</f>
        <v>69.976939999998649</v>
      </c>
      <c r="K363" s="11">
        <v>12723.08</v>
      </c>
      <c r="L363" s="12">
        <v>0.99450000000000005</v>
      </c>
      <c r="M363" s="11">
        <v>94.35</v>
      </c>
      <c r="N363" s="11">
        <v>942.05</v>
      </c>
      <c r="O363" s="17">
        <v>3.49E-2</v>
      </c>
      <c r="P363" s="17">
        <v>0.1804</v>
      </c>
      <c r="Q363" s="17">
        <v>0.52610000000000001</v>
      </c>
      <c r="R363" s="17">
        <v>0.1847</v>
      </c>
      <c r="S363" s="17"/>
      <c r="T363" s="17">
        <v>7.3899999999999993E-2</v>
      </c>
      <c r="U363" s="7" t="s">
        <v>230</v>
      </c>
      <c r="V363" s="15">
        <f>SUM(O363:T363)</f>
        <v>1</v>
      </c>
    </row>
    <row r="364" spans="2:22" ht="30" x14ac:dyDescent="0.25">
      <c r="B364" s="7"/>
      <c r="C364" s="7"/>
      <c r="D364" s="8"/>
      <c r="E364" s="7"/>
      <c r="F364" s="7"/>
      <c r="G364" s="9">
        <v>0</v>
      </c>
      <c r="H364" s="10">
        <v>44146</v>
      </c>
      <c r="I364" s="11">
        <v>979</v>
      </c>
      <c r="J364" s="11">
        <v>121</v>
      </c>
      <c r="K364" s="11">
        <v>2635.12</v>
      </c>
      <c r="L364" s="12">
        <v>0.94900000000000007</v>
      </c>
      <c r="M364" s="11">
        <v>85.77</v>
      </c>
      <c r="N364" s="11">
        <v>156.97999999999999</v>
      </c>
      <c r="O364" s="13">
        <v>0.42820000000000003</v>
      </c>
      <c r="P364" s="13"/>
      <c r="Q364" s="13">
        <v>0.4395</v>
      </c>
      <c r="R364" s="13"/>
      <c r="S364" s="13">
        <v>0.10050000000000001</v>
      </c>
      <c r="T364" s="13">
        <v>3.1800000000000002E-2</v>
      </c>
      <c r="U364" s="14" t="s">
        <v>230</v>
      </c>
      <c r="V364" s="15">
        <v>1</v>
      </c>
    </row>
    <row r="365" spans="2:22" ht="30" x14ac:dyDescent="0.25">
      <c r="B365" s="7"/>
      <c r="C365" s="7"/>
      <c r="D365" s="8"/>
      <c r="E365" s="7"/>
      <c r="F365" s="7"/>
      <c r="G365" s="9">
        <v>0</v>
      </c>
      <c r="H365" s="10">
        <v>44211</v>
      </c>
      <c r="I365" s="11">
        <v>6305</v>
      </c>
      <c r="J365" s="11">
        <v>195</v>
      </c>
      <c r="K365" s="11">
        <v>9830</v>
      </c>
      <c r="L365" s="12">
        <v>0.98199999999999998</v>
      </c>
      <c r="M365" s="11">
        <v>83.85</v>
      </c>
      <c r="N365" s="11">
        <v>121.95</v>
      </c>
      <c r="O365" s="13">
        <v>0.1368</v>
      </c>
      <c r="P365" s="13"/>
      <c r="Q365" s="13">
        <v>0.23810000000000001</v>
      </c>
      <c r="R365" s="13"/>
      <c r="S365" s="13">
        <v>0.1502</v>
      </c>
      <c r="T365" s="13">
        <v>0.4748</v>
      </c>
      <c r="U365" s="14" t="s">
        <v>247</v>
      </c>
      <c r="V365" s="15">
        <v>0.99990000000000001</v>
      </c>
    </row>
  </sheetData>
  <autoFilter ref="B2:V365" xr:uid="{71CC7DF6-637D-4089-B54D-AC8590C2319B}">
    <sortState xmlns:xlrd2="http://schemas.microsoft.com/office/spreadsheetml/2017/richdata2" ref="B3:V365">
      <sortCondition ref="C2:C53"/>
    </sortState>
  </autoFilter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</dc:creator>
  <cp:lastModifiedBy>ALEJANDRO</cp:lastModifiedBy>
  <dcterms:created xsi:type="dcterms:W3CDTF">2023-05-29T18:42:01Z</dcterms:created>
  <dcterms:modified xsi:type="dcterms:W3CDTF">2023-06-06T14:51:29Z</dcterms:modified>
</cp:coreProperties>
</file>