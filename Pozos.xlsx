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ALEJANDRO\Downloads\"/>
    </mc:Choice>
  </mc:AlternateContent>
  <xr:revisionPtr revIDLastSave="0" documentId="13_ncr:1_{3472C64E-7362-4982-800E-D9E7DB021764}" xr6:coauthVersionLast="47" xr6:coauthVersionMax="47" xr10:uidLastSave="{00000000-0000-0000-0000-000000000000}"/>
  <bookViews>
    <workbookView xWindow="-26745" yWindow="2550" windowWidth="21600" windowHeight="11295" xr2:uid="{00000000-000D-0000-FFFF-FFFF00000000}"/>
  </bookViews>
  <sheets>
    <sheet name="Pozos" sheetId="1" r:id="rId1"/>
  </sheets>
  <calcPr calcId="181029"/>
</workbook>
</file>

<file path=xl/calcChain.xml><?xml version="1.0" encoding="utf-8"?>
<calcChain xmlns="http://schemas.openxmlformats.org/spreadsheetml/2006/main">
  <c r="O3" i="1" l="1"/>
  <c r="O4" i="1"/>
  <c r="O5" i="1"/>
  <c r="O6" i="1"/>
  <c r="O7" i="1"/>
  <c r="O8" i="1"/>
  <c r="O9" i="1"/>
  <c r="O10" i="1"/>
  <c r="O11" i="1"/>
  <c r="O12" i="1"/>
  <c r="O13" i="1"/>
  <c r="O14" i="1"/>
  <c r="O2" i="1"/>
  <c r="E12" i="1"/>
  <c r="D12" i="1"/>
  <c r="E2" i="1"/>
  <c r="D2" i="1"/>
</calcChain>
</file>

<file path=xl/sharedStrings.xml><?xml version="1.0" encoding="utf-8"?>
<sst xmlns="http://schemas.openxmlformats.org/spreadsheetml/2006/main" count="56" uniqueCount="32">
  <si>
    <t>NamePozo</t>
  </si>
  <si>
    <t>Latitud</t>
  </si>
  <si>
    <t>Longitud</t>
  </si>
  <si>
    <t>PPMp</t>
  </si>
  <si>
    <t>BSW</t>
  </si>
  <si>
    <t>NM1</t>
  </si>
  <si>
    <t>NM2</t>
  </si>
  <si>
    <t>NM3</t>
  </si>
  <si>
    <t>NM4</t>
  </si>
  <si>
    <t>NM5</t>
  </si>
  <si>
    <t>NM6</t>
  </si>
  <si>
    <t>NM7</t>
  </si>
  <si>
    <t>NM8</t>
  </si>
  <si>
    <t>NM9</t>
  </si>
  <si>
    <t>NM10</t>
  </si>
  <si>
    <t>NM11</t>
  </si>
  <si>
    <t>NM12</t>
  </si>
  <si>
    <t>NM13</t>
  </si>
  <si>
    <t>BWPD</t>
  </si>
  <si>
    <t>BOPD</t>
  </si>
  <si>
    <t>BFPD</t>
  </si>
  <si>
    <t>PPMm</t>
  </si>
  <si>
    <t>45_106um</t>
  </si>
  <si>
    <t>106_212um</t>
  </si>
  <si>
    <t>212_425um</t>
  </si>
  <si>
    <t>mayor_425um</t>
  </si>
  <si>
    <t>color_icono</t>
  </si>
  <si>
    <t>25_45um</t>
  </si>
  <si>
    <t>Prefijo</t>
  </si>
  <si>
    <t>icono</t>
  </si>
  <si>
    <t>tower-observation</t>
  </si>
  <si>
    <t>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</si>
</sst>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00%"/>
  </numFmts>
  <fonts count="6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scheme val="minor"/>
    </font>
    <font>
      <sz val="8"/>
      <name val="Arial"/>
      <scheme val="minor"/>
    </font>
    <font>
      <b/>
      <sz val="8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43" fontId="5" fillId="2" borderId="1" xfId="1" applyFont="1" applyFill="1" applyBorder="1" applyAlignment="1">
      <alignment horizontal="center" vertical="center" wrapText="1" shrinkToFit="1"/>
    </xf>
    <xf numFmtId="10" fontId="5" fillId="2" borderId="1" xfId="2" applyNumberFormat="1" applyFont="1" applyFill="1" applyBorder="1" applyAlignment="1">
      <alignment horizontal="center" vertical="center" wrapText="1" shrinkToFit="1"/>
    </xf>
    <xf numFmtId="43" fontId="5" fillId="2" borderId="2" xfId="1" applyFont="1" applyFill="1" applyBorder="1" applyAlignment="1">
      <alignment horizontal="center" vertical="center" wrapText="1" shrinkToFit="1"/>
    </xf>
    <xf numFmtId="43" fontId="0" fillId="0" borderId="3" xfId="1" applyFont="1" applyFill="1" applyBorder="1" applyAlignment="1">
      <alignment horizontal="center" vertical="center"/>
    </xf>
    <xf numFmtId="164" fontId="0" fillId="0" borderId="3" xfId="2" applyNumberFormat="1" applyFont="1" applyFill="1" applyBorder="1" applyAlignment="1">
      <alignment horizontal="center" vertical="center"/>
    </xf>
    <xf numFmtId="43" fontId="0" fillId="0" borderId="3" xfId="1" applyFont="1" applyFill="1" applyBorder="1" applyAlignment="1">
      <alignment horizontal="center"/>
    </xf>
    <xf numFmtId="10" fontId="0" fillId="0" borderId="3" xfId="2" applyNumberFormat="1" applyFont="1" applyFill="1" applyBorder="1" applyAlignment="1">
      <alignment horizontal="center" vertical="center"/>
    </xf>
    <xf numFmtId="43" fontId="0" fillId="0" borderId="3" xfId="1" applyFont="1" applyBorder="1" applyAlignment="1">
      <alignment horizontal="center" vertical="center"/>
    </xf>
    <xf numFmtId="43" fontId="0" fillId="0" borderId="3" xfId="1" applyFont="1" applyBorder="1" applyAlignment="1">
      <alignment horizontal="center"/>
    </xf>
    <xf numFmtId="10" fontId="0" fillId="0" borderId="3" xfId="2" applyNumberFormat="1" applyFont="1" applyBorder="1" applyAlignment="1">
      <alignment horizontal="center" vertical="center"/>
    </xf>
    <xf numFmtId="43" fontId="0" fillId="0" borderId="3" xfId="0" applyNumberFormat="1" applyBorder="1" applyAlignment="1">
      <alignment horizontal="center" vertical="center"/>
    </xf>
    <xf numFmtId="43" fontId="0" fillId="0" borderId="3" xfId="0" applyNumberFormat="1" applyBorder="1" applyAlignment="1">
      <alignment horizontal="center"/>
    </xf>
    <xf numFmtId="10" fontId="0" fillId="0" borderId="3" xfId="0" applyNumberFormat="1" applyBorder="1" applyAlignment="1">
      <alignment horizontal="center" vertical="center"/>
    </xf>
    <xf numFmtId="43" fontId="0" fillId="0" borderId="4" xfId="1" applyFont="1" applyBorder="1" applyAlignment="1">
      <alignment horizontal="center" vertical="center"/>
    </xf>
    <xf numFmtId="43" fontId="0" fillId="0" borderId="4" xfId="1" applyFont="1" applyBorder="1" applyAlignment="1">
      <alignment horizontal="center"/>
    </xf>
    <xf numFmtId="10" fontId="0" fillId="0" borderId="4" xfId="2" applyNumberFormat="1" applyFont="1" applyBorder="1" applyAlignment="1">
      <alignment horizontal="center" vertical="center"/>
    </xf>
  </cellXfs>
  <cellStyles count="3">
    <cellStyle name="Millares" xfId="1" builtinId="3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14"/>
  <sheetViews>
    <sheetView tabSelected="1" workbookViewId="0">
      <selection activeCell="H18" sqref="H18"/>
    </sheetView>
  </sheetViews>
  <sheetFormatPr baseColWidth="10" defaultColWidth="12.5703125" defaultRowHeight="15.75" customHeight="1" x14ac:dyDescent="0.2"/>
  <cols>
    <col min="1" max="1" width="16.5703125" customWidth="1"/>
    <col min="2" max="2" width="15.140625" customWidth="1"/>
    <col min="3" max="3" width="15.42578125" customWidth="1"/>
  </cols>
  <sheetData>
    <row r="1" spans="1:17" x14ac:dyDescent="0.2">
      <c r="A1" s="1" t="s">
        <v>0</v>
      </c>
      <c r="B1" s="1" t="s">
        <v>1</v>
      </c>
      <c r="C1" s="1" t="s">
        <v>2</v>
      </c>
      <c r="D1" s="3" t="s">
        <v>18</v>
      </c>
      <c r="E1" s="3" t="s">
        <v>19</v>
      </c>
      <c r="F1" s="3" t="s">
        <v>20</v>
      </c>
      <c r="G1" s="4" t="s">
        <v>4</v>
      </c>
      <c r="H1" s="5" t="s">
        <v>3</v>
      </c>
      <c r="I1" s="5" t="s">
        <v>21</v>
      </c>
      <c r="J1" s="5" t="s">
        <v>27</v>
      </c>
      <c r="K1" s="5" t="s">
        <v>22</v>
      </c>
      <c r="L1" s="5" t="s">
        <v>23</v>
      </c>
      <c r="M1" s="5" t="s">
        <v>24</v>
      </c>
      <c r="N1" s="5" t="s">
        <v>25</v>
      </c>
      <c r="O1" s="5" t="s">
        <v>26</v>
      </c>
      <c r="P1" s="5" t="s">
        <v>28</v>
      </c>
      <c r="Q1" s="5" t="s">
        <v>29</v>
      </c>
    </row>
    <row r="2" spans="1:17" x14ac:dyDescent="0.2">
      <c r="A2" s="1" t="s">
        <v>5</v>
      </c>
      <c r="B2">
        <v>7.1059999999999999</v>
      </c>
      <c r="C2">
        <v>-73.98</v>
      </c>
      <c r="D2" s="6">
        <f t="shared" ref="D2" si="0">F2*G2</f>
        <v>240</v>
      </c>
      <c r="E2" s="6">
        <f t="shared" ref="E2" si="1">F2-D2</f>
        <v>60</v>
      </c>
      <c r="F2" s="6">
        <v>300</v>
      </c>
      <c r="G2" s="7">
        <v>0.8</v>
      </c>
      <c r="H2" s="8">
        <v>43.86</v>
      </c>
      <c r="I2" s="6">
        <v>50.77</v>
      </c>
      <c r="J2" s="9">
        <v>7.1199999999999999E-2</v>
      </c>
      <c r="K2" s="9">
        <v>0.56620000000000004</v>
      </c>
      <c r="L2" s="9">
        <v>0.2437</v>
      </c>
      <c r="M2" s="9">
        <v>9.2200000000000004E-2</v>
      </c>
      <c r="N2" s="9">
        <v>2.6599999999999999E-2</v>
      </c>
      <c r="O2" t="str">
        <f>IF(H2&gt;30,"red","green")</f>
        <v>red</v>
      </c>
      <c r="P2" t="s">
        <v>31</v>
      </c>
      <c r="Q2" t="s">
        <v>30</v>
      </c>
    </row>
    <row r="3" spans="1:17" x14ac:dyDescent="0.2">
      <c r="A3" s="1" t="s">
        <v>6</v>
      </c>
      <c r="B3">
        <v>7.0970000000000004</v>
      </c>
      <c r="C3">
        <v>-73.989999999999995</v>
      </c>
      <c r="D3" s="6">
        <v>109.31310000000001</v>
      </c>
      <c r="E3" s="6">
        <v>170.9769</v>
      </c>
      <c r="F3" s="6">
        <v>280.29000000000002</v>
      </c>
      <c r="G3" s="7">
        <v>0.39</v>
      </c>
      <c r="H3" s="8">
        <v>27.7</v>
      </c>
      <c r="I3" s="6">
        <v>45.57</v>
      </c>
      <c r="J3" s="9">
        <v>7.2900000000000006E-2</v>
      </c>
      <c r="K3" s="9">
        <v>0.62129999999999996</v>
      </c>
      <c r="L3" s="9">
        <v>0.1431</v>
      </c>
      <c r="M3" s="9">
        <v>7.6799999999999993E-2</v>
      </c>
      <c r="N3" s="9">
        <v>8.5900000000000004E-2</v>
      </c>
      <c r="O3" t="str">
        <f t="shared" ref="O3:O14" si="2">IF(H3&gt;30,"red","green")</f>
        <v>green</v>
      </c>
      <c r="P3" t="s">
        <v>31</v>
      </c>
      <c r="Q3" t="s">
        <v>30</v>
      </c>
    </row>
    <row r="4" spans="1:17" x14ac:dyDescent="0.2">
      <c r="A4" s="1" t="s">
        <v>7</v>
      </c>
      <c r="B4">
        <v>7.0970000000000004</v>
      </c>
      <c r="C4">
        <v>-73.959999999999994</v>
      </c>
      <c r="D4" s="6">
        <v>3350</v>
      </c>
      <c r="E4" s="6">
        <v>3350</v>
      </c>
      <c r="F4" s="6">
        <v>6700</v>
      </c>
      <c r="G4" s="7">
        <v>0.5</v>
      </c>
      <c r="H4" s="8">
        <v>23.42</v>
      </c>
      <c r="I4" s="6">
        <v>39.94</v>
      </c>
      <c r="J4" s="9">
        <v>9.9199999999999997E-2</v>
      </c>
      <c r="K4" s="9">
        <v>0.1547</v>
      </c>
      <c r="L4" s="9">
        <v>0.25169999999999998</v>
      </c>
      <c r="M4" s="9">
        <v>0.35599999999999998</v>
      </c>
      <c r="N4" s="9">
        <v>0.1384</v>
      </c>
      <c r="O4" t="str">
        <f t="shared" si="2"/>
        <v>green</v>
      </c>
      <c r="P4" t="s">
        <v>31</v>
      </c>
      <c r="Q4" t="s">
        <v>30</v>
      </c>
    </row>
    <row r="5" spans="1:17" x14ac:dyDescent="0.2">
      <c r="A5" s="1" t="s">
        <v>8</v>
      </c>
      <c r="B5">
        <v>7.08</v>
      </c>
      <c r="C5">
        <v>-73.98</v>
      </c>
      <c r="D5" s="10">
        <v>462.84839999999997</v>
      </c>
      <c r="E5" s="10">
        <v>88.161600000000021</v>
      </c>
      <c r="F5" s="6">
        <v>551.01</v>
      </c>
      <c r="G5" s="7">
        <v>0.84</v>
      </c>
      <c r="H5" s="11">
        <v>34.630000000000003</v>
      </c>
      <c r="I5" s="10">
        <v>39.049999999999997</v>
      </c>
      <c r="J5" s="12">
        <v>3.3500000000000002E-2</v>
      </c>
      <c r="K5" s="12">
        <v>9.2899999999999996E-2</v>
      </c>
      <c r="L5" s="12">
        <v>0.48509999999999998</v>
      </c>
      <c r="M5" s="12">
        <v>0.2797</v>
      </c>
      <c r="N5" s="12">
        <v>0.1087</v>
      </c>
      <c r="O5" t="str">
        <f t="shared" si="2"/>
        <v>red</v>
      </c>
      <c r="P5" t="s">
        <v>31</v>
      </c>
      <c r="Q5" t="s">
        <v>30</v>
      </c>
    </row>
    <row r="6" spans="1:17" x14ac:dyDescent="0.2">
      <c r="A6" s="1" t="s">
        <v>9</v>
      </c>
      <c r="B6">
        <v>7.0780000000000003</v>
      </c>
      <c r="C6">
        <v>-73.95</v>
      </c>
      <c r="D6" s="6">
        <v>1579.3490399999998</v>
      </c>
      <c r="E6" s="6">
        <v>86.630960000000186</v>
      </c>
      <c r="F6" s="6">
        <v>1665.98</v>
      </c>
      <c r="G6" s="7">
        <v>0.94799999999999995</v>
      </c>
      <c r="H6" s="8">
        <v>21.99</v>
      </c>
      <c r="I6" s="6">
        <v>41.83</v>
      </c>
      <c r="J6" s="9">
        <v>6.4699999999999994E-2</v>
      </c>
      <c r="K6" s="9">
        <v>0.23039999999999999</v>
      </c>
      <c r="L6" s="9">
        <v>0.3095</v>
      </c>
      <c r="M6" s="9">
        <v>0.1802</v>
      </c>
      <c r="N6" s="9">
        <v>0.21529999999999999</v>
      </c>
      <c r="O6" t="str">
        <f t="shared" si="2"/>
        <v>green</v>
      </c>
      <c r="P6" t="s">
        <v>31</v>
      </c>
      <c r="Q6" t="s">
        <v>30</v>
      </c>
    </row>
    <row r="7" spans="1:17" x14ac:dyDescent="0.2">
      <c r="A7" s="2" t="s">
        <v>10</v>
      </c>
      <c r="B7">
        <v>7.0620000000000003</v>
      </c>
      <c r="C7">
        <v>-73.95</v>
      </c>
      <c r="D7" s="6">
        <v>1090.5999999999999</v>
      </c>
      <c r="E7" s="6">
        <v>57.400000000000091</v>
      </c>
      <c r="F7" s="6">
        <v>1148</v>
      </c>
      <c r="G7" s="7">
        <v>0.95</v>
      </c>
      <c r="H7" s="8">
        <v>27.25</v>
      </c>
      <c r="I7" s="6">
        <v>53.68</v>
      </c>
      <c r="J7" s="9">
        <v>2.5100000000000001E-2</v>
      </c>
      <c r="K7" s="9">
        <v>0.33439999999999998</v>
      </c>
      <c r="L7" s="9">
        <v>0.36509999999999998</v>
      </c>
      <c r="M7" s="9">
        <v>0.17130000000000001</v>
      </c>
      <c r="N7" s="9">
        <v>0.1041</v>
      </c>
      <c r="O7" t="str">
        <f t="shared" si="2"/>
        <v>green</v>
      </c>
      <c r="P7" t="s">
        <v>31</v>
      </c>
      <c r="Q7" t="s">
        <v>30</v>
      </c>
    </row>
    <row r="8" spans="1:17" x14ac:dyDescent="0.2">
      <c r="A8" s="1" t="s">
        <v>11</v>
      </c>
      <c r="B8">
        <v>7.0620000000000003</v>
      </c>
      <c r="C8">
        <v>-73.930000000000007</v>
      </c>
      <c r="D8" s="6">
        <v>3811.6089000000002</v>
      </c>
      <c r="E8" s="6">
        <v>38.501099999999951</v>
      </c>
      <c r="F8" s="6">
        <v>3850.11</v>
      </c>
      <c r="G8" s="7">
        <v>0.99</v>
      </c>
      <c r="H8" s="8">
        <v>87.16</v>
      </c>
      <c r="I8" s="6">
        <v>104.21</v>
      </c>
      <c r="J8" s="9">
        <v>5.4199999999999998E-2</v>
      </c>
      <c r="K8" s="9">
        <v>9.2200000000000004E-2</v>
      </c>
      <c r="L8" s="9">
        <v>0.34</v>
      </c>
      <c r="M8" s="9">
        <v>0.36170000000000002</v>
      </c>
      <c r="N8" s="9">
        <v>0.15190000000000001</v>
      </c>
      <c r="O8" t="str">
        <f t="shared" si="2"/>
        <v>red</v>
      </c>
      <c r="P8" t="s">
        <v>31</v>
      </c>
      <c r="Q8" t="s">
        <v>30</v>
      </c>
    </row>
    <row r="9" spans="1:17" x14ac:dyDescent="0.2">
      <c r="A9" s="1" t="s">
        <v>12</v>
      </c>
      <c r="B9">
        <v>7.0750000000000002</v>
      </c>
      <c r="C9">
        <v>-73.91</v>
      </c>
      <c r="D9" s="13">
        <v>1951.95</v>
      </c>
      <c r="E9" s="13">
        <v>50.049999999999955</v>
      </c>
      <c r="F9" s="6">
        <v>2002</v>
      </c>
      <c r="G9" s="7">
        <v>0.97499999999999998</v>
      </c>
      <c r="H9" s="14">
        <v>4.21</v>
      </c>
      <c r="I9" s="13">
        <v>6.15</v>
      </c>
      <c r="J9" s="15">
        <v>0.21709999999999999</v>
      </c>
      <c r="K9" s="15">
        <v>0.33329999999999999</v>
      </c>
      <c r="L9" s="15">
        <v>0.186</v>
      </c>
      <c r="M9" s="15">
        <v>0.1434</v>
      </c>
      <c r="N9" s="15">
        <v>0.1202</v>
      </c>
      <c r="O9" t="str">
        <f t="shared" si="2"/>
        <v>green</v>
      </c>
      <c r="P9" t="s">
        <v>31</v>
      </c>
      <c r="Q9" t="s">
        <v>30</v>
      </c>
    </row>
    <row r="10" spans="1:17" x14ac:dyDescent="0.2">
      <c r="A10" s="1" t="s">
        <v>13</v>
      </c>
      <c r="B10">
        <v>7.0910000000000002</v>
      </c>
      <c r="C10">
        <v>-73.84</v>
      </c>
      <c r="D10" s="16">
        <v>7345.1449999999995</v>
      </c>
      <c r="E10" s="16">
        <v>111.85500000000047</v>
      </c>
      <c r="F10" s="6">
        <v>7457</v>
      </c>
      <c r="G10" s="7">
        <v>0.98499999999999999</v>
      </c>
      <c r="H10" s="17">
        <v>3.68</v>
      </c>
      <c r="I10" s="16">
        <v>6.53</v>
      </c>
      <c r="J10" s="18">
        <v>0.1154</v>
      </c>
      <c r="K10" s="18">
        <v>0.1923</v>
      </c>
      <c r="L10" s="18">
        <v>0.25</v>
      </c>
      <c r="M10" s="18">
        <v>0.25640000000000002</v>
      </c>
      <c r="N10" s="18">
        <v>0.18590000000000001</v>
      </c>
      <c r="O10" t="str">
        <f t="shared" si="2"/>
        <v>green</v>
      </c>
      <c r="P10" t="s">
        <v>31</v>
      </c>
      <c r="Q10" t="s">
        <v>30</v>
      </c>
    </row>
    <row r="11" spans="1:17" x14ac:dyDescent="0.2">
      <c r="A11" s="1" t="s">
        <v>14</v>
      </c>
      <c r="B11">
        <v>7.0250000000000004</v>
      </c>
      <c r="C11">
        <v>-73.819999999999993</v>
      </c>
      <c r="D11" s="6">
        <v>11800.624264</v>
      </c>
      <c r="E11" s="6">
        <v>42.635736000000179</v>
      </c>
      <c r="F11" s="6">
        <v>11843.26</v>
      </c>
      <c r="G11" s="7">
        <v>0.99639999999999995</v>
      </c>
      <c r="H11" s="8">
        <v>2.2200000000000002</v>
      </c>
      <c r="I11" s="6">
        <v>5.61</v>
      </c>
      <c r="J11" s="9">
        <v>0.25</v>
      </c>
      <c r="K11" s="9">
        <v>0.17069999999999999</v>
      </c>
      <c r="L11" s="9">
        <v>0.23780000000000001</v>
      </c>
      <c r="M11" s="9">
        <v>0.23169999999999999</v>
      </c>
      <c r="N11" s="9">
        <v>0.10979999999999999</v>
      </c>
      <c r="O11" t="str">
        <f t="shared" si="2"/>
        <v>green</v>
      </c>
      <c r="P11" t="s">
        <v>31</v>
      </c>
      <c r="Q11" t="s">
        <v>30</v>
      </c>
    </row>
    <row r="12" spans="1:17" x14ac:dyDescent="0.2">
      <c r="A12" s="1" t="s">
        <v>15</v>
      </c>
      <c r="B12">
        <v>6.9980000000000002</v>
      </c>
      <c r="C12">
        <v>-73.84</v>
      </c>
      <c r="D12" s="6">
        <f t="shared" ref="D12" si="3">F12*G12</f>
        <v>3809.86456</v>
      </c>
      <c r="E12" s="6">
        <f t="shared" ref="E12" si="4">F12-D12</f>
        <v>54.095440000000053</v>
      </c>
      <c r="F12" s="6">
        <v>3863.96</v>
      </c>
      <c r="G12" s="7">
        <v>0.98599999999999999</v>
      </c>
      <c r="H12" s="8">
        <v>28.83</v>
      </c>
      <c r="I12" s="6">
        <v>48.15</v>
      </c>
      <c r="J12" s="9">
        <v>4.6399999999999997E-2</v>
      </c>
      <c r="K12" s="9">
        <v>6.83E-2</v>
      </c>
      <c r="L12" s="9">
        <v>0.24030000000000001</v>
      </c>
      <c r="M12" s="9">
        <v>0.35670000000000002</v>
      </c>
      <c r="N12" s="9">
        <v>0.28839999999999999</v>
      </c>
      <c r="O12" t="str">
        <f t="shared" si="2"/>
        <v>green</v>
      </c>
      <c r="P12" t="s">
        <v>31</v>
      </c>
      <c r="Q12" t="s">
        <v>30</v>
      </c>
    </row>
    <row r="13" spans="1:17" x14ac:dyDescent="0.2">
      <c r="A13" s="2" t="s">
        <v>16</v>
      </c>
      <c r="B13">
        <v>7</v>
      </c>
      <c r="C13">
        <v>-73.819999999999993</v>
      </c>
      <c r="D13" s="10">
        <v>5698.2770390000005</v>
      </c>
      <c r="E13" s="10">
        <v>46.532960999999887</v>
      </c>
      <c r="F13" s="6">
        <v>5744.81</v>
      </c>
      <c r="G13" s="7">
        <v>0.9919</v>
      </c>
      <c r="H13" s="11">
        <v>36.950000000000003</v>
      </c>
      <c r="I13" s="10">
        <v>63.32</v>
      </c>
      <c r="J13" s="12">
        <v>2.24E-2</v>
      </c>
      <c r="K13" s="12">
        <v>8.0199999999999994E-2</v>
      </c>
      <c r="L13" s="12">
        <v>0.3256</v>
      </c>
      <c r="M13" s="12">
        <v>0.42559999999999998</v>
      </c>
      <c r="N13" s="12">
        <v>0.1462</v>
      </c>
      <c r="O13" t="str">
        <f t="shared" si="2"/>
        <v>red</v>
      </c>
      <c r="P13" t="s">
        <v>31</v>
      </c>
      <c r="Q13" t="s">
        <v>30</v>
      </c>
    </row>
    <row r="14" spans="1:17" x14ac:dyDescent="0.2">
      <c r="A14" s="1" t="s">
        <v>17</v>
      </c>
      <c r="B14">
        <v>7.0090000000000003</v>
      </c>
      <c r="C14">
        <v>-73.8</v>
      </c>
      <c r="D14" s="6">
        <v>18886.512899999998</v>
      </c>
      <c r="E14" s="6">
        <v>94.907100000000355</v>
      </c>
      <c r="F14" s="6">
        <v>18981.419999999998</v>
      </c>
      <c r="G14" s="7">
        <v>0.995</v>
      </c>
      <c r="H14" s="8">
        <v>43.8</v>
      </c>
      <c r="I14" s="6">
        <v>151.6</v>
      </c>
      <c r="J14" s="9">
        <v>0.15840000000000001</v>
      </c>
      <c r="K14" s="9">
        <v>0.1052</v>
      </c>
      <c r="L14" s="9">
        <v>0.48060000000000003</v>
      </c>
      <c r="M14" s="9">
        <v>0.186</v>
      </c>
      <c r="N14" s="9">
        <v>6.9800000000000001E-2</v>
      </c>
      <c r="O14" t="str">
        <f t="shared" si="2"/>
        <v>red</v>
      </c>
      <c r="P14" t="s">
        <v>31</v>
      </c>
      <c r="Q14" t="s">
        <v>30</v>
      </c>
    </row>
  </sheetData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Pozos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ALEJANDRO</cp:lastModifiedBy>
  <dcterms:modified xsi:type="dcterms:W3CDTF">2023-05-15T19:44:24Z</dcterms:modified>
</cp:coreProperties>
</file>